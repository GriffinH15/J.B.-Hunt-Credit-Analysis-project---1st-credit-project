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c241c93df1fd1f/Documents/"/>
    </mc:Choice>
  </mc:AlternateContent>
  <xr:revisionPtr revIDLastSave="1445" documentId="8_{809D9B5B-B976-4982-A9A5-EA8517871739}" xr6:coauthVersionLast="47" xr6:coauthVersionMax="47" xr10:uidLastSave="{53C2DC38-5DCD-4DEA-AFEA-073CE4753D45}"/>
  <bookViews>
    <workbookView xWindow="-108" yWindow="-108" windowWidth="23256" windowHeight="13896" xr2:uid="{3796B545-D84B-4AAA-991F-25E5712E5D3D}"/>
  </bookViews>
  <sheets>
    <sheet name="Summary " sheetId="9" r:id="rId1"/>
    <sheet name="Historical Financials" sheetId="2" r:id="rId2"/>
    <sheet name="Credit Ratios" sheetId="3" r:id="rId3"/>
    <sheet name="Liquidity" sheetId="4" r:id="rId4"/>
    <sheet name="Debt Schedule" sheetId="6" r:id="rId5"/>
    <sheet name="Projections" sheetId="7" r:id="rId6"/>
    <sheet name="Severe Downside Case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" i="8" l="1"/>
  <c r="D23" i="7"/>
  <c r="E23" i="7"/>
  <c r="F23" i="7"/>
  <c r="C23" i="7"/>
  <c r="F10" i="6"/>
  <c r="E19" i="9"/>
  <c r="E15" i="7"/>
  <c r="F20" i="3"/>
  <c r="D12" i="4"/>
  <c r="D19" i="3"/>
  <c r="D18" i="9"/>
  <c r="E18" i="9"/>
  <c r="C18" i="9"/>
  <c r="D17" i="9"/>
  <c r="E17" i="9"/>
  <c r="C17" i="9"/>
  <c r="D16" i="9"/>
  <c r="E16" i="9"/>
  <c r="C16" i="9"/>
  <c r="D15" i="9"/>
  <c r="E15" i="9" s="1"/>
  <c r="C11" i="9"/>
  <c r="C13" i="8"/>
  <c r="D13" i="8"/>
  <c r="C12" i="9"/>
  <c r="E11" i="9"/>
  <c r="F11" i="9"/>
  <c r="D11" i="9"/>
  <c r="D9" i="9"/>
  <c r="E9" i="9"/>
  <c r="F9" i="9"/>
  <c r="C9" i="9"/>
  <c r="D8" i="9"/>
  <c r="E8" i="9"/>
  <c r="F8" i="9"/>
  <c r="C8" i="9"/>
  <c r="D7" i="9"/>
  <c r="E7" i="9"/>
  <c r="F7" i="9"/>
  <c r="C7" i="9"/>
  <c r="D6" i="9"/>
  <c r="E6" i="9"/>
  <c r="F6" i="9"/>
  <c r="C6" i="9"/>
  <c r="E13" i="8"/>
  <c r="F13" i="8"/>
  <c r="F20" i="8"/>
  <c r="E20" i="8"/>
  <c r="F24" i="8"/>
  <c r="E24" i="8"/>
  <c r="D24" i="8"/>
  <c r="C24" i="8"/>
  <c r="C23" i="8"/>
  <c r="F21" i="8"/>
  <c r="E21" i="8"/>
  <c r="D21" i="8"/>
  <c r="C21" i="8"/>
  <c r="C20" i="8"/>
  <c r="C19" i="8"/>
  <c r="C17" i="8"/>
  <c r="C16" i="8"/>
  <c r="F10" i="8"/>
  <c r="E10" i="8"/>
  <c r="D10" i="8"/>
  <c r="C10" i="8"/>
  <c r="C9" i="8"/>
  <c r="C7" i="8"/>
  <c r="C6" i="8"/>
  <c r="C5" i="8"/>
  <c r="E16" i="7"/>
  <c r="F16" i="7"/>
  <c r="D16" i="7"/>
  <c r="F18" i="6"/>
  <c r="C16" i="7"/>
  <c r="D15" i="7"/>
  <c r="F15" i="7"/>
  <c r="C15" i="7"/>
  <c r="D18" i="7"/>
  <c r="D20" i="3"/>
  <c r="D10" i="7"/>
  <c r="E10" i="7"/>
  <c r="F10" i="7"/>
  <c r="C10" i="7"/>
  <c r="C22" i="7"/>
  <c r="C9" i="7"/>
  <c r="E94" i="2"/>
  <c r="F94" i="2"/>
  <c r="D94" i="2"/>
  <c r="E20" i="7"/>
  <c r="F20" i="7"/>
  <c r="D20" i="7"/>
  <c r="C20" i="7"/>
  <c r="C7" i="7"/>
  <c r="E93" i="2"/>
  <c r="F93" i="2"/>
  <c r="D93" i="2"/>
  <c r="C6" i="7"/>
  <c r="C45" i="7"/>
  <c r="C44" i="7"/>
  <c r="C19" i="7"/>
  <c r="C43" i="7" s="1"/>
  <c r="E37" i="7"/>
  <c r="F18" i="7"/>
  <c r="E18" i="7"/>
  <c r="C33" i="7"/>
  <c r="C34" i="7"/>
  <c r="E36" i="7" s="1"/>
  <c r="C36" i="7"/>
  <c r="C18" i="7"/>
  <c r="C5" i="7"/>
  <c r="E20" i="3"/>
  <c r="D35" i="6"/>
  <c r="D34" i="6"/>
  <c r="D30" i="6"/>
  <c r="F26" i="6"/>
  <c r="D26" i="6"/>
  <c r="D18" i="6"/>
  <c r="D10" i="6"/>
  <c r="D19" i="4"/>
  <c r="E19" i="4"/>
  <c r="F19" i="4"/>
  <c r="E18" i="4"/>
  <c r="F18" i="4"/>
  <c r="D18" i="4"/>
  <c r="E17" i="4"/>
  <c r="F17" i="4"/>
  <c r="D17" i="4"/>
  <c r="E12" i="4"/>
  <c r="F12" i="4"/>
  <c r="E8" i="4"/>
  <c r="F8" i="4"/>
  <c r="D8" i="4"/>
  <c r="D7" i="4"/>
  <c r="D6" i="4"/>
  <c r="D17" i="3"/>
  <c r="D16" i="3"/>
  <c r="D51" i="2"/>
  <c r="D49" i="2"/>
  <c r="D43" i="2"/>
  <c r="D30" i="2"/>
  <c r="D26" i="2"/>
  <c r="D23" i="2"/>
  <c r="D18" i="2"/>
  <c r="D53" i="2"/>
  <c r="F7" i="4"/>
  <c r="E7" i="4"/>
  <c r="F6" i="4"/>
  <c r="E6" i="4"/>
  <c r="E10" i="4"/>
  <c r="E9" i="4"/>
  <c r="F9" i="4"/>
  <c r="D9" i="4"/>
  <c r="E5" i="4"/>
  <c r="F5" i="4"/>
  <c r="D5" i="4"/>
  <c r="E4" i="4"/>
  <c r="F4" i="4" s="1"/>
  <c r="E21" i="3"/>
  <c r="F19" i="3"/>
  <c r="E19" i="3"/>
  <c r="F17" i="3"/>
  <c r="E17" i="3"/>
  <c r="F16" i="3"/>
  <c r="E16" i="3"/>
  <c r="E8" i="3"/>
  <c r="F8" i="3"/>
  <c r="D8" i="3"/>
  <c r="E10" i="3"/>
  <c r="F10" i="3"/>
  <c r="D10" i="3"/>
  <c r="F6" i="3"/>
  <c r="E6" i="3"/>
  <c r="F4" i="3"/>
  <c r="E4" i="3"/>
  <c r="E18" i="2"/>
  <c r="E23" i="2" s="1"/>
  <c r="E30" i="2" s="1"/>
  <c r="F18" i="2"/>
  <c r="F23" i="2" s="1"/>
  <c r="F30" i="2" s="1"/>
  <c r="E88" i="2"/>
  <c r="D88" i="2"/>
  <c r="D86" i="2"/>
  <c r="E84" i="2"/>
  <c r="F84" i="2"/>
  <c r="D84" i="2"/>
  <c r="E75" i="2"/>
  <c r="F75" i="2"/>
  <c r="D75" i="2"/>
  <c r="E56" i="2"/>
  <c r="F56" i="2" s="1"/>
  <c r="F49" i="2"/>
  <c r="E49" i="2"/>
  <c r="F43" i="2"/>
  <c r="E43" i="2"/>
  <c r="E51" i="2" s="1"/>
  <c r="E33" i="2"/>
  <c r="F33" i="2" s="1"/>
  <c r="F26" i="2"/>
  <c r="E26" i="2"/>
  <c r="E5" i="2"/>
  <c r="F5" i="2" s="1"/>
  <c r="E17" i="2"/>
  <c r="F17" i="2" s="1"/>
  <c r="E8" i="2"/>
  <c r="E11" i="2" s="1"/>
  <c r="E13" i="2" s="1"/>
  <c r="E57" i="2" s="1"/>
  <c r="E69" i="2" s="1"/>
  <c r="E86" i="2" s="1"/>
  <c r="F8" i="2"/>
  <c r="F11" i="2" s="1"/>
  <c r="F13" i="2" s="1"/>
  <c r="F57" i="2" s="1"/>
  <c r="F69" i="2" s="1"/>
  <c r="F86" i="2" s="1"/>
  <c r="F88" i="2" s="1"/>
  <c r="D8" i="2"/>
  <c r="D11" i="2" s="1"/>
  <c r="D13" i="2" s="1"/>
  <c r="D57" i="2" s="1"/>
  <c r="D69" i="2" s="1"/>
  <c r="D5" i="8" l="1"/>
  <c r="C12" i="8"/>
  <c r="C8" i="8"/>
  <c r="C22" i="8" s="1"/>
  <c r="C12" i="7"/>
  <c r="C8" i="7"/>
  <c r="C21" i="7" s="1"/>
  <c r="F10" i="4"/>
  <c r="F21" i="3"/>
  <c r="D10" i="4"/>
  <c r="D21" i="3"/>
  <c r="D5" i="7"/>
  <c r="E35" i="7"/>
  <c r="E19" i="7"/>
  <c r="F19" i="7"/>
  <c r="C38" i="7"/>
  <c r="C39" i="7" s="1"/>
  <c r="C35" i="7"/>
  <c r="E33" i="7"/>
  <c r="E32" i="7" s="1"/>
  <c r="C40" i="7"/>
  <c r="E53" i="2"/>
  <c r="F51" i="2"/>
  <c r="F53" i="2" s="1"/>
  <c r="C11" i="7" l="1"/>
  <c r="C10" i="9" s="1"/>
  <c r="C11" i="8"/>
  <c r="E5" i="8"/>
  <c r="D6" i="8"/>
  <c r="D7" i="8"/>
  <c r="D9" i="8"/>
  <c r="D7" i="7"/>
  <c r="D9" i="7"/>
  <c r="D6" i="7"/>
  <c r="D12" i="7" s="1"/>
  <c r="D11" i="7" s="1"/>
  <c r="D10" i="9" s="1"/>
  <c r="E5" i="7"/>
  <c r="F5" i="8" l="1"/>
  <c r="E6" i="8"/>
  <c r="E7" i="8"/>
  <c r="E9" i="8"/>
  <c r="D8" i="8"/>
  <c r="D12" i="8"/>
  <c r="D17" i="8"/>
  <c r="E9" i="7"/>
  <c r="E7" i="7"/>
  <c r="D8" i="7"/>
  <c r="E6" i="7"/>
  <c r="E12" i="7" s="1"/>
  <c r="F5" i="7"/>
  <c r="F9" i="8" l="1"/>
  <c r="F6" i="8"/>
  <c r="F7" i="8"/>
  <c r="E8" i="8"/>
  <c r="E12" i="8"/>
  <c r="E17" i="8"/>
  <c r="D11" i="8"/>
  <c r="D16" i="8"/>
  <c r="D22" i="8"/>
  <c r="F9" i="7"/>
  <c r="F7" i="7"/>
  <c r="D21" i="7"/>
  <c r="E8" i="7"/>
  <c r="E11" i="7" s="1"/>
  <c r="E10" i="9" s="1"/>
  <c r="F6" i="7"/>
  <c r="F12" i="7" s="1"/>
  <c r="F8" i="8" l="1"/>
  <c r="F12" i="8"/>
  <c r="F17" i="8"/>
  <c r="E11" i="8"/>
  <c r="E16" i="8"/>
  <c r="E22" i="8"/>
  <c r="E21" i="7"/>
  <c r="F8" i="7"/>
  <c r="F11" i="7" s="1"/>
  <c r="F10" i="9" s="1"/>
  <c r="F16" i="8" l="1"/>
  <c r="F22" i="8"/>
  <c r="F2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griff</author>
  </authors>
  <commentList>
    <comment ref="D11" authorId="0" shapeId="0" xr:uid="{64331B4C-3CAB-426D-8B79-407790A08D9B}">
      <text>
        <r>
          <rPr>
            <b/>
            <sz val="9"/>
            <color indexed="81"/>
            <rFont val="Tahoma"/>
            <family val="2"/>
          </rPr>
          <t>griff:</t>
        </r>
        <r>
          <rPr>
            <sz val="9"/>
            <color indexed="81"/>
            <rFont val="Tahoma"/>
            <family val="2"/>
          </rPr>
          <t xml:space="preserve">
From 2023 10-K</t>
        </r>
      </text>
    </comment>
    <comment ref="E11" authorId="0" shapeId="0" xr:uid="{738205C7-052C-46BC-8248-FCF7F4910F27}">
      <text>
        <r>
          <rPr>
            <b/>
            <sz val="9"/>
            <color indexed="81"/>
            <rFont val="Tahoma"/>
            <family val="2"/>
          </rPr>
          <t>griff:</t>
        </r>
        <r>
          <rPr>
            <sz val="9"/>
            <color indexed="81"/>
            <rFont val="Tahoma"/>
            <family val="2"/>
          </rPr>
          <t xml:space="preserve">
From 2024 10-K</t>
        </r>
      </text>
    </comment>
    <comment ref="F11" authorId="0" shapeId="0" xr:uid="{5296F36A-40EB-4D06-90D7-7957810E0927}">
      <text>
        <r>
          <rPr>
            <b/>
            <sz val="9"/>
            <color indexed="81"/>
            <rFont val="Tahoma"/>
            <family val="2"/>
          </rPr>
          <t>griff:</t>
        </r>
        <r>
          <rPr>
            <sz val="9"/>
            <color indexed="81"/>
            <rFont val="Tahoma"/>
            <family val="2"/>
          </rPr>
          <t xml:space="preserve">
Taken From 10-K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griff</author>
  </authors>
  <commentList>
    <comment ref="C36" authorId="0" shapeId="0" xr:uid="{E81DA822-6E71-4329-8C8A-197AEF261C3E}">
      <text>
        <r>
          <rPr>
            <b/>
            <sz val="9"/>
            <color indexed="81"/>
            <rFont val="Tahoma"/>
            <family val="2"/>
          </rPr>
          <t>griff:</t>
        </r>
        <r>
          <rPr>
            <sz val="9"/>
            <color indexed="81"/>
            <rFont val="Tahoma"/>
            <family val="2"/>
          </rPr>
          <t xml:space="preserve">
from 2026 10-Q</t>
        </r>
      </text>
    </comment>
    <comment ref="C37" authorId="0" shapeId="0" xr:uid="{36D4D978-3E6E-4BE0-8FB8-95702A645D58}">
      <text>
        <r>
          <rPr>
            <b/>
            <sz val="9"/>
            <color indexed="81"/>
            <rFont val="Tahoma"/>
            <family val="2"/>
          </rPr>
          <t>griff:</t>
        </r>
        <r>
          <rPr>
            <sz val="9"/>
            <color indexed="81"/>
            <rFont val="Tahoma"/>
            <family val="2"/>
          </rPr>
          <t xml:space="preserve">
From 12% growth 1st half, this is conservative assuming second half of 2026 has no growth</t>
        </r>
      </text>
    </comment>
    <comment ref="C41" authorId="0" shapeId="0" xr:uid="{7DDDAAA3-67AC-4E5B-8F18-9D4CDA2D0812}">
      <text>
        <r>
          <rPr>
            <b/>
            <sz val="9"/>
            <color indexed="81"/>
            <rFont val="Tahoma"/>
            <family val="2"/>
          </rPr>
          <t>griff:</t>
        </r>
        <r>
          <rPr>
            <sz val="9"/>
            <color indexed="81"/>
            <rFont val="Tahoma"/>
            <family val="2"/>
          </rPr>
          <t xml:space="preserve">
Decrease towards long run rate as freight recovery happends, not assuming current growth will last
</t>
        </r>
      </text>
    </comment>
  </commentList>
</comments>
</file>

<file path=xl/sharedStrings.xml><?xml version="1.0" encoding="utf-8"?>
<sst xmlns="http://schemas.openxmlformats.org/spreadsheetml/2006/main" count="238" uniqueCount="173">
  <si>
    <t>J.B Hunt Historical Financials</t>
  </si>
  <si>
    <t>Income Statement</t>
  </si>
  <si>
    <t>Operating Revenues</t>
  </si>
  <si>
    <t>$ In Thousands</t>
  </si>
  <si>
    <t>Operating Expenses</t>
  </si>
  <si>
    <t>Interest Income</t>
  </si>
  <si>
    <t>Interest Expense</t>
  </si>
  <si>
    <t>EBT</t>
  </si>
  <si>
    <t>Income Taxes</t>
  </si>
  <si>
    <t>Net Income</t>
  </si>
  <si>
    <t>Balance Sheet</t>
  </si>
  <si>
    <t>Cash and Equivalents</t>
  </si>
  <si>
    <t>Trade AR, Net</t>
  </si>
  <si>
    <t>Other Receivables</t>
  </si>
  <si>
    <t>Inventories</t>
  </si>
  <si>
    <t>Prepaid Expenses</t>
  </si>
  <si>
    <t>Total Current Assets</t>
  </si>
  <si>
    <t>Gross PP&amp;E</t>
  </si>
  <si>
    <t>Accumulated Dep.</t>
  </si>
  <si>
    <t>Goodwill</t>
  </si>
  <si>
    <t>Other Intangible Assets</t>
  </si>
  <si>
    <t>Other Assets</t>
  </si>
  <si>
    <t>Total Assets</t>
  </si>
  <si>
    <t>Liabilities and SHE:</t>
  </si>
  <si>
    <t>Net PP&amp;E</t>
  </si>
  <si>
    <t>Current Long-term Debt</t>
  </si>
  <si>
    <t>Trade Accounts Payable</t>
  </si>
  <si>
    <t>Claims Accruals</t>
  </si>
  <si>
    <t>Accrued payroll and payroll taxes</t>
  </si>
  <si>
    <t>other accrued expenses</t>
  </si>
  <si>
    <t>long-term debt</t>
  </si>
  <si>
    <t>long-term claims accruals</t>
  </si>
  <si>
    <t>other long-term liabilities</t>
  </si>
  <si>
    <t>Deferred income taxes</t>
  </si>
  <si>
    <t>Total Liabilities</t>
  </si>
  <si>
    <t>Common Stock</t>
  </si>
  <si>
    <t>APIC</t>
  </si>
  <si>
    <t>Retained Earnings</t>
  </si>
  <si>
    <t>Treasury Stock</t>
  </si>
  <si>
    <t>Total Shareholders Equity</t>
  </si>
  <si>
    <t>Total Liabilities and SHE:</t>
  </si>
  <si>
    <t>Balance?</t>
  </si>
  <si>
    <t>Statement of Cash Flows</t>
  </si>
  <si>
    <t>Net Earnings</t>
  </si>
  <si>
    <t>D&amp;A</t>
  </si>
  <si>
    <t>Noncash lease expense</t>
  </si>
  <si>
    <t>Loss on sale of revenue equipment</t>
  </si>
  <si>
    <t>Deferred Income Taxes</t>
  </si>
  <si>
    <t>Trade Accounts Receivable</t>
  </si>
  <si>
    <t>Income taxes receivable or payable</t>
  </si>
  <si>
    <t>Other current assets</t>
  </si>
  <si>
    <t>Trade accounts payable</t>
  </si>
  <si>
    <t xml:space="preserve">Accrued payroll and other accrued </t>
  </si>
  <si>
    <t>Net Cash from Operations:</t>
  </si>
  <si>
    <t>Share-based compensation</t>
  </si>
  <si>
    <t>Additions to property and equipment</t>
  </si>
  <si>
    <t>proceeds from sale of equipment</t>
  </si>
  <si>
    <t>proceeds from sale of investment</t>
  </si>
  <si>
    <t>Business Acquisitions</t>
  </si>
  <si>
    <t>Net Cash from Investing</t>
  </si>
  <si>
    <t>Proceeds from long-term debt</t>
  </si>
  <si>
    <t>Payments on long-term debt</t>
  </si>
  <si>
    <t>Proceeds from revolving lines of credit</t>
  </si>
  <si>
    <t>Payments on Revolving lines of credit</t>
  </si>
  <si>
    <t>purchase of treasury stock</t>
  </si>
  <si>
    <t>stock repurchased for payroll taxes</t>
  </si>
  <si>
    <t>Dividends Paid</t>
  </si>
  <si>
    <t>Net Cash from Financing</t>
  </si>
  <si>
    <t>Net Increase/Decrease in cash</t>
  </si>
  <si>
    <t>Cash at beginning of Year</t>
  </si>
  <si>
    <t>Cash at End of year</t>
  </si>
  <si>
    <t>Operating Income</t>
  </si>
  <si>
    <t>CREDIT RATIOS</t>
  </si>
  <si>
    <t>x</t>
  </si>
  <si>
    <t>Historical Years</t>
  </si>
  <si>
    <t>Revenue Growth</t>
  </si>
  <si>
    <t>EBITDA Margin</t>
  </si>
  <si>
    <t>EBIT Margin</t>
  </si>
  <si>
    <t>Leverage</t>
  </si>
  <si>
    <t>Gross Debt/EBITDA</t>
  </si>
  <si>
    <t>Net Debt/EBITDA</t>
  </si>
  <si>
    <t>N/A</t>
  </si>
  <si>
    <t>Interest Coverage</t>
  </si>
  <si>
    <t>*FCF as CFO-CapEx</t>
  </si>
  <si>
    <t>Free Cash Flow</t>
  </si>
  <si>
    <t>FCF/Interest</t>
  </si>
  <si>
    <t>Liquidity Analysis</t>
  </si>
  <si>
    <t>Metric</t>
  </si>
  <si>
    <t>Cash &amp; Equivalents</t>
  </si>
  <si>
    <t>Current Assets</t>
  </si>
  <si>
    <t>Current Liabilities</t>
  </si>
  <si>
    <t>Current portion of debt</t>
  </si>
  <si>
    <t>Operating Cash Flow</t>
  </si>
  <si>
    <t>FCF</t>
  </si>
  <si>
    <t>Undrawn Revolver</t>
  </si>
  <si>
    <t>Total Available Liquidity</t>
  </si>
  <si>
    <t>Ratios</t>
  </si>
  <si>
    <t>Current Ratio</t>
  </si>
  <si>
    <t>Cash + revolver liquidity</t>
  </si>
  <si>
    <t>Liquidity/Current Liabilities</t>
  </si>
  <si>
    <t>Debt Schedule</t>
  </si>
  <si>
    <t>Revolver</t>
  </si>
  <si>
    <t>Senior Notes</t>
  </si>
  <si>
    <t>Instrument</t>
  </si>
  <si>
    <t>Amount</t>
  </si>
  <si>
    <t>Rate</t>
  </si>
  <si>
    <t>Maturity</t>
  </si>
  <si>
    <t>$ in thousands</t>
  </si>
  <si>
    <t>Total 2025 Debt</t>
  </si>
  <si>
    <t>Unamortized debt issuance</t>
  </si>
  <si>
    <t>Term Loan</t>
  </si>
  <si>
    <t>Total 2024 Debt</t>
  </si>
  <si>
    <t>Total 2023 Debt</t>
  </si>
  <si>
    <t>Unamoritzed debt issuance</t>
  </si>
  <si>
    <t>Future Debt Maturity</t>
  </si>
  <si>
    <t>Total</t>
  </si>
  <si>
    <t>Projections</t>
  </si>
  <si>
    <t>Revenue</t>
  </si>
  <si>
    <t>Revenue Growth %</t>
  </si>
  <si>
    <t>Assumptions</t>
  </si>
  <si>
    <t>Label</t>
  </si>
  <si>
    <t>2025 full-year revenue</t>
  </si>
  <si>
    <t>2025 First half</t>
  </si>
  <si>
    <t>2026 first half</t>
  </si>
  <si>
    <t>Assumed 2026 Growth</t>
  </si>
  <si>
    <t>2025 Second Half</t>
  </si>
  <si>
    <t>Assumed 2026 Full Year</t>
  </si>
  <si>
    <t>2026 Second Half Required</t>
  </si>
  <si>
    <t>Numbers</t>
  </si>
  <si>
    <t>Revenue growth % proof</t>
  </si>
  <si>
    <t>1st Half 2026 Growth %</t>
  </si>
  <si>
    <t>Revenue Growth estimate 2027</t>
  </si>
  <si>
    <t>Revenue Growth Estimate 2028</t>
  </si>
  <si>
    <t>Operating Margin</t>
  </si>
  <si>
    <t>2026 OP Inc.</t>
  </si>
  <si>
    <t>First half 2025</t>
  </si>
  <si>
    <t>2025 OP Inc</t>
  </si>
  <si>
    <t>Operating Income Margin %</t>
  </si>
  <si>
    <t>2025 Operating Income %</t>
  </si>
  <si>
    <t>2024 Operating Income %</t>
  </si>
  <si>
    <t>2023 Operating Income %</t>
  </si>
  <si>
    <t xml:space="preserve">Ratios and Projections </t>
  </si>
  <si>
    <t>D&amp;A as a % of revenue</t>
  </si>
  <si>
    <t>D&amp;A Projections</t>
  </si>
  <si>
    <t>EBITDA Projections</t>
  </si>
  <si>
    <t>EBITDA % of Revenue</t>
  </si>
  <si>
    <t>Additions to PP&amp;E as a % of Revenue</t>
  </si>
  <si>
    <t>CAPEX Projections</t>
  </si>
  <si>
    <t>CAPEX as a % of Revenue</t>
  </si>
  <si>
    <t>Tax Rate</t>
  </si>
  <si>
    <t>Taxes</t>
  </si>
  <si>
    <t>Leverage Check</t>
  </si>
  <si>
    <t>Severe Downside Case</t>
  </si>
  <si>
    <t>* Revenue growth and Operating Income margin are assumptions</t>
  </si>
  <si>
    <t>* Downside Case only</t>
  </si>
  <si>
    <t>DSCR</t>
  </si>
  <si>
    <t>Analysis and Summary: J.B. Hunt</t>
  </si>
  <si>
    <t>Key Metrics</t>
  </si>
  <si>
    <t>EBITDA</t>
  </si>
  <si>
    <t>Liquidity</t>
  </si>
  <si>
    <t>*2027 and 2028 Exclude Term Loan maturity</t>
  </si>
  <si>
    <t>Strengths:</t>
  </si>
  <si>
    <t>* DSCR are from severe Downside case, excluding 2025</t>
  </si>
  <si>
    <t>Historical Metrics</t>
  </si>
  <si>
    <t>Concerns:</t>
  </si>
  <si>
    <t>Date:</t>
  </si>
  <si>
    <t xml:space="preserve">Buybacks and dividends are high and may threaten cash </t>
  </si>
  <si>
    <t>Revenue decreased YoY from 2023 to 2024 of -5.79% and from 2024 to 2025 of -.73%</t>
  </si>
  <si>
    <t>Even with severe downside case, leverage and interest coverage do not fluctuate much, with a peak of leverage at 1.1 and a low for interest coverage of 9x.</t>
  </si>
  <si>
    <t>first half revenue 2026 was up 12% vs. prior year</t>
  </si>
  <si>
    <t>$ 1B Revolving line of credit, with 973.2M undrawn as of 2025</t>
  </si>
  <si>
    <t>total of 1.476B of debt outstanding, 700M due in 2026. 2026 DSCR of 0.7 shows repayment depends on refinancing, backed by up to $700M of committed term loans.</t>
  </si>
  <si>
    <t>Buybacks and Payouts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</si>
</sst>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&quot;A&quot;"/>
    <numFmt numFmtId="165" formatCode="#,##0.0_);\(#,##0.0\)"/>
    <numFmt numFmtId="166" formatCode="#\A"/>
    <numFmt numFmtId="167" formatCode="#,##0.0"/>
    <numFmt numFmtId="168" formatCode="0.000%"/>
    <numFmt numFmtId="169" formatCode="#\F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5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9"/>
      <name val="Aptos Narrow"/>
      <family val="2"/>
      <scheme val="minor"/>
    </font>
    <font>
      <sz val="25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92D05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0" xfId="0" applyFont="1"/>
    <xf numFmtId="165" fontId="0" fillId="0" borderId="0" xfId="0" applyNumberFormat="1"/>
    <xf numFmtId="165" fontId="3" fillId="0" borderId="0" xfId="0" applyNumberFormat="1" applyFont="1"/>
    <xf numFmtId="165" fontId="3" fillId="0" borderId="1" xfId="0" applyNumberFormat="1" applyFont="1" applyBorder="1"/>
    <xf numFmtId="165" fontId="1" fillId="0" borderId="0" xfId="0" applyNumberFormat="1" applyFont="1"/>
    <xf numFmtId="0" fontId="1" fillId="0" borderId="2" xfId="0" applyFont="1" applyBorder="1"/>
    <xf numFmtId="165" fontId="1" fillId="0" borderId="2" xfId="0" applyNumberFormat="1" applyFont="1" applyBorder="1"/>
    <xf numFmtId="164" fontId="1" fillId="0" borderId="0" xfId="0" applyNumberFormat="1" applyFont="1"/>
    <xf numFmtId="0" fontId="1" fillId="0" borderId="1" xfId="0" applyFont="1" applyBorder="1" applyAlignment="1">
      <alignment horizontal="centerContinuous"/>
    </xf>
    <xf numFmtId="164" fontId="1" fillId="0" borderId="1" xfId="0" applyNumberFormat="1" applyFon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165" fontId="3" fillId="0" borderId="3" xfId="0" applyNumberFormat="1" applyFont="1" applyBorder="1"/>
    <xf numFmtId="0" fontId="5" fillId="0" borderId="0" xfId="0" applyFont="1"/>
    <xf numFmtId="0" fontId="1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166" fontId="1" fillId="0" borderId="0" xfId="0" applyNumberFormat="1" applyFont="1"/>
    <xf numFmtId="0" fontId="1" fillId="2" borderId="2" xfId="0" applyFont="1" applyFill="1" applyBorder="1"/>
    <xf numFmtId="39" fontId="0" fillId="2" borderId="0" xfId="0" applyNumberFormat="1" applyFill="1"/>
    <xf numFmtId="39" fontId="1" fillId="0" borderId="0" xfId="0" applyNumberFormat="1" applyFont="1"/>
    <xf numFmtId="0" fontId="4" fillId="0" borderId="0" xfId="0" applyFont="1"/>
    <xf numFmtId="165" fontId="0" fillId="2" borderId="0" xfId="0" applyNumberFormat="1" applyFill="1"/>
    <xf numFmtId="167" fontId="0" fillId="2" borderId="0" xfId="0" applyNumberFormat="1" applyFill="1"/>
    <xf numFmtId="3" fontId="3" fillId="2" borderId="0" xfId="0" applyNumberFormat="1" applyFont="1" applyFill="1"/>
    <xf numFmtId="167" fontId="1" fillId="2" borderId="2" xfId="0" applyNumberFormat="1" applyFont="1" applyFill="1" applyBorder="1"/>
    <xf numFmtId="166" fontId="1" fillId="2" borderId="0" xfId="0" applyNumberFormat="1" applyFont="1" applyFill="1"/>
    <xf numFmtId="0" fontId="1" fillId="0" borderId="4" xfId="0" applyFont="1" applyBorder="1"/>
    <xf numFmtId="0" fontId="0" fillId="2" borderId="4" xfId="0" applyFill="1" applyBorder="1"/>
    <xf numFmtId="14" fontId="0" fillId="2" borderId="4" xfId="0" applyNumberFormat="1" applyFill="1" applyBorder="1"/>
    <xf numFmtId="165" fontId="1" fillId="0" borderId="4" xfId="0" applyNumberFormat="1" applyFont="1" applyBorder="1"/>
    <xf numFmtId="2" fontId="1" fillId="0" borderId="4" xfId="0" applyNumberFormat="1" applyFont="1" applyBorder="1"/>
    <xf numFmtId="165" fontId="0" fillId="2" borderId="4" xfId="0" applyNumberFormat="1" applyFill="1" applyBorder="1"/>
    <xf numFmtId="0" fontId="0" fillId="0" borderId="4" xfId="0" applyBorder="1"/>
    <xf numFmtId="165" fontId="0" fillId="0" borderId="4" xfId="0" applyNumberFormat="1" applyBorder="1"/>
    <xf numFmtId="0" fontId="1" fillId="0" borderId="4" xfId="0" applyFont="1" applyBorder="1" applyAlignment="1">
      <alignment horizontal="centerContinuous"/>
    </xf>
    <xf numFmtId="10" fontId="9" fillId="2" borderId="2" xfId="0" applyNumberFormat="1" applyFont="1" applyFill="1" applyBorder="1"/>
    <xf numFmtId="39" fontId="9" fillId="2" borderId="0" xfId="0" applyNumberFormat="1" applyFont="1" applyFill="1"/>
    <xf numFmtId="39" fontId="9" fillId="2" borderId="2" xfId="0" applyNumberFormat="1" applyFont="1" applyFill="1" applyBorder="1"/>
    <xf numFmtId="39" fontId="9" fillId="0" borderId="2" xfId="0" applyNumberFormat="1" applyFont="1" applyBorder="1"/>
    <xf numFmtId="39" fontId="9" fillId="0" borderId="0" xfId="0" applyNumberFormat="1" applyFont="1"/>
    <xf numFmtId="0" fontId="10" fillId="0" borderId="0" xfId="0" applyFont="1"/>
    <xf numFmtId="10" fontId="0" fillId="0" borderId="0" xfId="0" applyNumberFormat="1"/>
    <xf numFmtId="9" fontId="0" fillId="0" borderId="0" xfId="0" applyNumberFormat="1"/>
    <xf numFmtId="9" fontId="3" fillId="0" borderId="0" xfId="0" applyNumberFormat="1" applyFont="1"/>
    <xf numFmtId="9" fontId="11" fillId="0" borderId="0" xfId="0" applyNumberFormat="1" applyFont="1"/>
    <xf numFmtId="0" fontId="3" fillId="0" borderId="0" xfId="0" applyFont="1"/>
    <xf numFmtId="0" fontId="12" fillId="0" borderId="0" xfId="0" applyFont="1"/>
    <xf numFmtId="166" fontId="0" fillId="2" borderId="4" xfId="0" applyNumberFormat="1" applyFill="1" applyBorder="1"/>
    <xf numFmtId="169" fontId="0" fillId="2" borderId="4" xfId="0" applyNumberFormat="1" applyFill="1" applyBorder="1"/>
    <xf numFmtId="165" fontId="13" fillId="2" borderId="4" xfId="0" applyNumberFormat="1" applyFont="1" applyFill="1" applyBorder="1"/>
    <xf numFmtId="10" fontId="13" fillId="2" borderId="4" xfId="0" applyNumberFormat="1" applyFont="1" applyFill="1" applyBorder="1"/>
    <xf numFmtId="9" fontId="0" fillId="2" borderId="4" xfId="0" applyNumberFormat="1" applyFill="1" applyBorder="1"/>
    <xf numFmtId="10" fontId="0" fillId="2" borderId="4" xfId="0" applyNumberFormat="1" applyFill="1" applyBorder="1"/>
    <xf numFmtId="9" fontId="3" fillId="2" borderId="4" xfId="0" applyNumberFormat="1" applyFont="1" applyFill="1" applyBorder="1"/>
    <xf numFmtId="165" fontId="13" fillId="0" borderId="0" xfId="0" applyNumberFormat="1" applyFont="1"/>
    <xf numFmtId="10" fontId="3" fillId="2" borderId="4" xfId="0" applyNumberFormat="1" applyFont="1" applyFill="1" applyBorder="1"/>
    <xf numFmtId="165" fontId="13" fillId="2" borderId="0" xfId="0" applyNumberFormat="1" applyFont="1" applyFill="1"/>
    <xf numFmtId="39" fontId="13" fillId="2" borderId="0" xfId="0" applyNumberFormat="1" applyFont="1" applyFill="1"/>
    <xf numFmtId="39" fontId="13" fillId="2" borderId="4" xfId="0" applyNumberFormat="1" applyFont="1" applyFill="1" applyBorder="1"/>
    <xf numFmtId="39" fontId="0" fillId="2" borderId="4" xfId="0" applyNumberFormat="1" applyFill="1" applyBorder="1"/>
    <xf numFmtId="0" fontId="2" fillId="0" borderId="0" xfId="0" applyFont="1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39" fontId="13" fillId="0" borderId="0" xfId="0" applyNumberFormat="1" applyFont="1"/>
    <xf numFmtId="169" fontId="1" fillId="2" borderId="0" xfId="0" applyNumberFormat="1" applyFont="1" applyFill="1"/>
    <xf numFmtId="14" fontId="0" fillId="2" borderId="0" xfId="0" applyNumberFormat="1" applyFill="1"/>
    <xf numFmtId="167" fontId="0" fillId="0" borderId="0" xfId="0" applyNumberFormat="1"/>
    <xf numFmtId="165" fontId="0" fillId="2" borderId="4" xfId="0" applyNumberFormat="1" applyFont="1" applyFill="1" applyBorder="1"/>
    <xf numFmtId="165" fontId="3" fillId="2" borderId="4" xfId="0" applyNumberFormat="1" applyFont="1" applyFill="1" applyBorder="1"/>
    <xf numFmtId="168" fontId="3" fillId="2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06282-23EE-4B86-AFCF-D5D6DF8B046A}">
  <sheetPr>
    <tabColor theme="7"/>
  </sheetPr>
  <dimension ref="B2:K29"/>
  <sheetViews>
    <sheetView showGridLines="0" tabSelected="1" workbookViewId="0">
      <selection activeCell="B16" sqref="B16"/>
    </sheetView>
  </sheetViews>
  <sheetFormatPr defaultRowHeight="14.4" x14ac:dyDescent="0.3"/>
  <cols>
    <col min="2" max="2" width="22.77734375" customWidth="1"/>
    <col min="3" max="3" width="13.6640625" customWidth="1"/>
    <col min="4" max="6" width="12.21875" bestFit="1" customWidth="1"/>
    <col min="11" max="11" width="9.33203125" bestFit="1" customWidth="1"/>
  </cols>
  <sheetData>
    <row r="2" spans="2:11" ht="33" x14ac:dyDescent="0.65">
      <c r="B2" s="64" t="s">
        <v>156</v>
      </c>
    </row>
    <row r="4" spans="2:11" x14ac:dyDescent="0.3">
      <c r="B4" s="3" t="s">
        <v>107</v>
      </c>
      <c r="C4" s="3"/>
    </row>
    <row r="5" spans="2:11" x14ac:dyDescent="0.3">
      <c r="B5" s="66" t="s">
        <v>157</v>
      </c>
      <c r="C5" s="29">
        <v>2025</v>
      </c>
      <c r="D5" s="68">
        <v>2026</v>
      </c>
      <c r="E5" s="68">
        <v>2027</v>
      </c>
      <c r="F5" s="68">
        <v>2028</v>
      </c>
      <c r="J5" t="s">
        <v>165</v>
      </c>
      <c r="K5" s="69">
        <v>46303</v>
      </c>
    </row>
    <row r="6" spans="2:11" x14ac:dyDescent="0.3">
      <c r="B6" t="s">
        <v>117</v>
      </c>
      <c r="C6" s="58">
        <f>Projections!C5</f>
        <v>11999096</v>
      </c>
      <c r="D6" s="58">
        <f>Projections!D5</f>
        <v>12719041.76</v>
      </c>
      <c r="E6" s="58">
        <f>Projections!E5</f>
        <v>13227803.430400001</v>
      </c>
      <c r="F6" s="58">
        <f>Projections!F5</f>
        <v>13756915.567616001</v>
      </c>
    </row>
    <row r="7" spans="2:11" x14ac:dyDescent="0.3">
      <c r="B7" t="s">
        <v>158</v>
      </c>
      <c r="C7" s="58">
        <f>Projections!C8</f>
        <v>1579854</v>
      </c>
      <c r="D7" s="58">
        <f>Projections!D8</f>
        <v>1717325.2844056385</v>
      </c>
      <c r="E7" s="58">
        <f>Projections!E8</f>
        <v>1756377.1893162844</v>
      </c>
      <c r="F7" s="58">
        <f>Projections!F8</f>
        <v>1826632.2768889358</v>
      </c>
    </row>
    <row r="8" spans="2:11" x14ac:dyDescent="0.3">
      <c r="B8" t="s">
        <v>79</v>
      </c>
      <c r="C8" s="58">
        <f>Projections!C15</f>
        <v>0.92843832404766513</v>
      </c>
      <c r="D8" s="58">
        <f>Projections!D15</f>
        <v>0.8599419186395526</v>
      </c>
      <c r="E8" s="58">
        <f>Projections!E15</f>
        <v>0.84082166916258061</v>
      </c>
      <c r="F8" s="58">
        <f>Projections!F15</f>
        <v>0.80848237419478897</v>
      </c>
    </row>
    <row r="9" spans="2:11" x14ac:dyDescent="0.3">
      <c r="B9" t="s">
        <v>82</v>
      </c>
      <c r="C9" s="58">
        <f>Projections!C16</f>
        <v>11.502659362284923</v>
      </c>
      <c r="D9" s="58">
        <f>Projections!D16</f>
        <v>12.684202483844373</v>
      </c>
      <c r="E9" s="58">
        <f>Projections!E16</f>
        <v>12.79743838010824</v>
      </c>
      <c r="F9" s="58">
        <f>Projections!F16</f>
        <v>13.30933591531257</v>
      </c>
    </row>
    <row r="10" spans="2:11" x14ac:dyDescent="0.3">
      <c r="B10" t="s">
        <v>84</v>
      </c>
      <c r="C10" s="58">
        <f>Projections!C11</f>
        <v>947585</v>
      </c>
      <c r="D10" s="58">
        <f>Projections!D11</f>
        <v>534741.99460163841</v>
      </c>
      <c r="E10" s="58">
        <f>Projections!E11</f>
        <v>536077.12593712239</v>
      </c>
      <c r="F10" s="58">
        <f>Projections!F11</f>
        <v>559785.41569460742</v>
      </c>
    </row>
    <row r="11" spans="2:11" x14ac:dyDescent="0.3">
      <c r="B11" t="s">
        <v>155</v>
      </c>
      <c r="C11" s="58">
        <f>'Severe Downside Case'!C13</f>
        <v>1.1371071216225144</v>
      </c>
      <c r="D11" s="58">
        <f>'Severe Downside Case'!D13</f>
        <v>0.71181901315950624</v>
      </c>
      <c r="E11" s="58">
        <f>'Severe Downside Case'!E13</f>
        <v>5.6205355415062339</v>
      </c>
      <c r="F11" s="58">
        <f>'Severe Downside Case'!F13</f>
        <v>5.513064830676111</v>
      </c>
      <c r="G11" t="s">
        <v>160</v>
      </c>
    </row>
    <row r="12" spans="2:11" x14ac:dyDescent="0.3">
      <c r="B12" t="s">
        <v>159</v>
      </c>
      <c r="C12" s="58">
        <f>Liquidity!F12</f>
        <v>990484</v>
      </c>
      <c r="D12" s="58"/>
      <c r="E12" s="58"/>
      <c r="F12" s="58"/>
      <c r="G12" t="s">
        <v>162</v>
      </c>
    </row>
    <row r="15" spans="2:11" x14ac:dyDescent="0.3">
      <c r="B15" s="65" t="s">
        <v>163</v>
      </c>
      <c r="C15" s="29">
        <v>2023</v>
      </c>
      <c r="D15" s="29">
        <f>C15+1</f>
        <v>2024</v>
      </c>
      <c r="E15" s="29">
        <f>D15+1</f>
        <v>2025</v>
      </c>
    </row>
    <row r="16" spans="2:11" x14ac:dyDescent="0.3">
      <c r="B16" t="s">
        <v>97</v>
      </c>
      <c r="C16" s="67">
        <f>Liquidity!D17</f>
        <v>1.3502182444061963</v>
      </c>
      <c r="D16" s="67">
        <f>Liquidity!E17</f>
        <v>1.0553878334247098</v>
      </c>
      <c r="E16" s="67">
        <f>Liquidity!F17</f>
        <v>0.82889182951032447</v>
      </c>
    </row>
    <row r="17" spans="2:5" x14ac:dyDescent="0.3">
      <c r="B17" t="s">
        <v>98</v>
      </c>
      <c r="C17" s="58">
        <f>Liquidity!D18</f>
        <v>923344</v>
      </c>
      <c r="D17" s="58">
        <f>Liquidity!E18</f>
        <v>766983</v>
      </c>
      <c r="E17" s="58">
        <f>Liquidity!F18</f>
        <v>990484</v>
      </c>
    </row>
    <row r="18" spans="2:5" x14ac:dyDescent="0.3">
      <c r="B18" t="s">
        <v>99</v>
      </c>
      <c r="C18" s="67">
        <f>Liquidity!D19</f>
        <v>0.63569294320137693</v>
      </c>
      <c r="D18" s="67">
        <f>Liquidity!E19</f>
        <v>0.45707074920740864</v>
      </c>
      <c r="E18" s="67">
        <f>Liquidity!F19</f>
        <v>0.51178731625350127</v>
      </c>
    </row>
    <row r="19" spans="2:5" x14ac:dyDescent="0.3">
      <c r="B19" t="s">
        <v>172</v>
      </c>
      <c r="E19" s="58">
        <f>-'Historical Financials'!F81-'Historical Financials'!F83</f>
        <v>1094340</v>
      </c>
    </row>
    <row r="21" spans="2:5" x14ac:dyDescent="0.3">
      <c r="B21" t="s">
        <v>161</v>
      </c>
    </row>
    <row r="22" spans="2:5" x14ac:dyDescent="0.3">
      <c r="B22" t="s">
        <v>170</v>
      </c>
    </row>
    <row r="23" spans="2:5" x14ac:dyDescent="0.3">
      <c r="B23" t="s">
        <v>168</v>
      </c>
    </row>
    <row r="24" spans="2:5" x14ac:dyDescent="0.3">
      <c r="B24" t="s">
        <v>169</v>
      </c>
    </row>
    <row r="26" spans="2:5" x14ac:dyDescent="0.3">
      <c r="B26" t="s">
        <v>164</v>
      </c>
    </row>
    <row r="27" spans="2:5" x14ac:dyDescent="0.3">
      <c r="B27" t="s">
        <v>171</v>
      </c>
    </row>
    <row r="28" spans="2:5" x14ac:dyDescent="0.3">
      <c r="B28" t="s">
        <v>166</v>
      </c>
    </row>
    <row r="29" spans="2:5" x14ac:dyDescent="0.3">
      <c r="B29" t="s">
        <v>167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5454-8023-47AC-BDF6-7AC087077D8D}">
  <sheetPr>
    <tabColor theme="5"/>
  </sheetPr>
  <dimension ref="B2:I94"/>
  <sheetViews>
    <sheetView showGridLines="0" topLeftCell="A81" zoomScaleNormal="100" workbookViewId="0">
      <selection activeCell="E93" sqref="E93"/>
    </sheetView>
  </sheetViews>
  <sheetFormatPr defaultRowHeight="14.4" x14ac:dyDescent="0.3"/>
  <cols>
    <col min="2" max="2" width="25.77734375" customWidth="1"/>
    <col min="3" max="3" width="30.77734375" customWidth="1"/>
    <col min="4" max="6" width="13.77734375" customWidth="1"/>
  </cols>
  <sheetData>
    <row r="2" spans="2:9" ht="33" x14ac:dyDescent="0.65">
      <c r="B2" s="2" t="s">
        <v>0</v>
      </c>
    </row>
    <row r="4" spans="2:9" x14ac:dyDescent="0.3">
      <c r="C4" t="s">
        <v>3</v>
      </c>
    </row>
    <row r="5" spans="2:9" x14ac:dyDescent="0.3">
      <c r="B5" t="s">
        <v>73</v>
      </c>
      <c r="C5" s="11" t="s">
        <v>1</v>
      </c>
      <c r="D5" s="12">
        <v>2023</v>
      </c>
      <c r="E5" s="12">
        <f>D5+1</f>
        <v>2024</v>
      </c>
      <c r="F5" s="12">
        <f t="shared" ref="F5" si="0">E5+1</f>
        <v>2025</v>
      </c>
      <c r="G5" s="3"/>
      <c r="H5" s="3"/>
      <c r="I5" s="3"/>
    </row>
    <row r="6" spans="2:9" x14ac:dyDescent="0.3">
      <c r="C6" t="s">
        <v>2</v>
      </c>
      <c r="D6" s="5">
        <v>12829665</v>
      </c>
      <c r="E6" s="5">
        <v>12087204</v>
      </c>
      <c r="F6" s="5">
        <v>11999096</v>
      </c>
    </row>
    <row r="7" spans="2:9" x14ac:dyDescent="0.3">
      <c r="C7" s="1" t="s">
        <v>4</v>
      </c>
      <c r="D7" s="6">
        <v>-11836469</v>
      </c>
      <c r="E7" s="6">
        <v>-11255979</v>
      </c>
      <c r="F7" s="6">
        <v>-11134027</v>
      </c>
    </row>
    <row r="8" spans="2:9" x14ac:dyDescent="0.3">
      <c r="C8" s="3" t="s">
        <v>71</v>
      </c>
      <c r="D8" s="7">
        <f>D6+D7</f>
        <v>993196</v>
      </c>
      <c r="E8" s="7">
        <f t="shared" ref="E8:F8" si="1">E6+E7</f>
        <v>831225</v>
      </c>
      <c r="F8" s="7">
        <f t="shared" si="1"/>
        <v>865069</v>
      </c>
      <c r="G8" s="3"/>
      <c r="H8" s="3"/>
      <c r="I8" s="3"/>
    </row>
    <row r="9" spans="2:9" x14ac:dyDescent="0.3">
      <c r="C9" t="s">
        <v>5</v>
      </c>
      <c r="D9" s="5">
        <v>7624</v>
      </c>
      <c r="E9" s="5">
        <v>7311</v>
      </c>
      <c r="F9" s="5">
        <v>4249</v>
      </c>
    </row>
    <row r="10" spans="2:9" x14ac:dyDescent="0.3">
      <c r="C10" t="s">
        <v>6</v>
      </c>
      <c r="D10" s="5">
        <v>-65933</v>
      </c>
      <c r="E10" s="5">
        <v>-79020</v>
      </c>
      <c r="F10" s="5">
        <v>-75206</v>
      </c>
    </row>
    <row r="11" spans="2:9" x14ac:dyDescent="0.3">
      <c r="C11" s="8" t="s">
        <v>7</v>
      </c>
      <c r="D11" s="9">
        <f>D8+D9+D10</f>
        <v>934887</v>
      </c>
      <c r="E11" s="9">
        <f t="shared" ref="E11:F11" si="2">E8+E9+E10</f>
        <v>759516</v>
      </c>
      <c r="F11" s="9">
        <f t="shared" si="2"/>
        <v>794112</v>
      </c>
      <c r="G11" s="3"/>
      <c r="H11" s="3"/>
      <c r="I11" s="3"/>
    </row>
    <row r="12" spans="2:9" x14ac:dyDescent="0.3">
      <c r="C12" t="s">
        <v>8</v>
      </c>
      <c r="D12" s="5">
        <v>-206600</v>
      </c>
      <c r="E12" s="5">
        <v>-188630</v>
      </c>
      <c r="F12" s="5">
        <v>-195830</v>
      </c>
    </row>
    <row r="13" spans="2:9" x14ac:dyDescent="0.3">
      <c r="C13" s="8" t="s">
        <v>9</v>
      </c>
      <c r="D13" s="9">
        <f>D11+D12</f>
        <v>728287</v>
      </c>
      <c r="E13" s="9">
        <f t="shared" ref="E13:F13" si="3">E11+E12</f>
        <v>570886</v>
      </c>
      <c r="F13" s="9">
        <f t="shared" si="3"/>
        <v>598282</v>
      </c>
    </row>
    <row r="17" spans="2:6" x14ac:dyDescent="0.3">
      <c r="B17" t="s">
        <v>73</v>
      </c>
      <c r="C17" s="3" t="s">
        <v>10</v>
      </c>
      <c r="D17" s="10">
        <v>2023</v>
      </c>
      <c r="E17" s="10">
        <f>D17+1</f>
        <v>2024</v>
      </c>
      <c r="F17" s="10">
        <f t="shared" ref="F17" si="4">E17+1</f>
        <v>2025</v>
      </c>
    </row>
    <row r="18" spans="2:6" x14ac:dyDescent="0.3">
      <c r="C18" t="s">
        <v>11</v>
      </c>
      <c r="D18" s="4">
        <f>D88</f>
        <v>53344</v>
      </c>
      <c r="E18" s="4">
        <f>E88</f>
        <v>46983</v>
      </c>
      <c r="F18" s="4">
        <f>F88</f>
        <v>17284</v>
      </c>
    </row>
    <row r="19" spans="2:6" x14ac:dyDescent="0.3">
      <c r="C19" t="s">
        <v>12</v>
      </c>
      <c r="D19" s="5">
        <v>1334912</v>
      </c>
      <c r="E19" s="5">
        <v>1224166</v>
      </c>
      <c r="F19" s="5">
        <v>1160371</v>
      </c>
    </row>
    <row r="20" spans="2:6" x14ac:dyDescent="0.3">
      <c r="C20" t="s">
        <v>13</v>
      </c>
      <c r="D20" s="5">
        <v>231248</v>
      </c>
      <c r="E20" s="5">
        <v>257774</v>
      </c>
      <c r="F20" s="5">
        <v>199767</v>
      </c>
    </row>
    <row r="21" spans="2:6" x14ac:dyDescent="0.3">
      <c r="C21" t="s">
        <v>14</v>
      </c>
      <c r="D21" s="5">
        <v>42186</v>
      </c>
      <c r="E21" s="5">
        <v>41662</v>
      </c>
      <c r="F21" s="5">
        <v>42209</v>
      </c>
    </row>
    <row r="22" spans="2:6" x14ac:dyDescent="0.3">
      <c r="C22" t="s">
        <v>15</v>
      </c>
      <c r="D22" s="5">
        <v>299502</v>
      </c>
      <c r="E22" s="5">
        <v>200398</v>
      </c>
      <c r="F22" s="5">
        <v>184559</v>
      </c>
    </row>
    <row r="23" spans="2:6" x14ac:dyDescent="0.3">
      <c r="C23" s="8" t="s">
        <v>16</v>
      </c>
      <c r="D23" s="9">
        <f>SUM(D18:D22)</f>
        <v>1961192</v>
      </c>
      <c r="E23" s="9">
        <f>SUM(E18:E22)</f>
        <v>1770983</v>
      </c>
      <c r="F23" s="9">
        <f>SUM(F18:F22)</f>
        <v>1604190</v>
      </c>
    </row>
    <row r="24" spans="2:6" x14ac:dyDescent="0.3">
      <c r="C24" t="s">
        <v>17</v>
      </c>
      <c r="D24" s="5">
        <v>8767872</v>
      </c>
      <c r="E24" s="5">
        <v>9148928</v>
      </c>
      <c r="F24" s="5">
        <v>9348370</v>
      </c>
    </row>
    <row r="25" spans="2:6" x14ac:dyDescent="0.3">
      <c r="C25" t="s">
        <v>18</v>
      </c>
      <c r="D25" s="5">
        <v>-2993959</v>
      </c>
      <c r="E25" s="5">
        <v>-3419129</v>
      </c>
      <c r="F25" s="5">
        <v>-3810269</v>
      </c>
    </row>
    <row r="26" spans="2:6" x14ac:dyDescent="0.3">
      <c r="C26" t="s">
        <v>24</v>
      </c>
      <c r="D26" s="4">
        <f>D24+D25</f>
        <v>5773913</v>
      </c>
      <c r="E26" s="4">
        <f>E24+E25</f>
        <v>5729799</v>
      </c>
      <c r="F26" s="4">
        <f>F24+F25</f>
        <v>5538101</v>
      </c>
    </row>
    <row r="27" spans="2:6" x14ac:dyDescent="0.3">
      <c r="C27" t="s">
        <v>19</v>
      </c>
      <c r="D27" s="5">
        <v>134057</v>
      </c>
      <c r="E27" s="5">
        <v>134057</v>
      </c>
      <c r="F27" s="5">
        <v>134057</v>
      </c>
    </row>
    <row r="28" spans="2:6" x14ac:dyDescent="0.3">
      <c r="C28" t="s">
        <v>20</v>
      </c>
      <c r="D28" s="5">
        <v>133896</v>
      </c>
      <c r="E28" s="5">
        <v>96922</v>
      </c>
      <c r="F28" s="5">
        <v>76300</v>
      </c>
    </row>
    <row r="29" spans="2:6" x14ac:dyDescent="0.3">
      <c r="C29" t="s">
        <v>21</v>
      </c>
      <c r="D29" s="5">
        <v>585090</v>
      </c>
      <c r="E29" s="5">
        <v>580509</v>
      </c>
      <c r="F29" s="5">
        <v>574507</v>
      </c>
    </row>
    <row r="30" spans="2:6" x14ac:dyDescent="0.3">
      <c r="C30" s="8" t="s">
        <v>22</v>
      </c>
      <c r="D30" s="9">
        <f>D23+SUM(D26:D29)</f>
        <v>8588148</v>
      </c>
      <c r="E30" s="9">
        <f>E23+SUM(E26:E29)</f>
        <v>8312270</v>
      </c>
      <c r="F30" s="9">
        <f>F23+SUM(F26:F29)</f>
        <v>7927155</v>
      </c>
    </row>
    <row r="33" spans="2:6" x14ac:dyDescent="0.3">
      <c r="B33" t="s">
        <v>73</v>
      </c>
      <c r="C33" s="3" t="s">
        <v>23</v>
      </c>
      <c r="D33" s="10">
        <v>2023</v>
      </c>
      <c r="E33" s="10">
        <f>D33+1</f>
        <v>2024</v>
      </c>
      <c r="F33" s="10">
        <f t="shared" ref="F33" si="5">E33+1</f>
        <v>2025</v>
      </c>
    </row>
    <row r="34" spans="2:6" x14ac:dyDescent="0.3">
      <c r="C34" t="s">
        <v>25</v>
      </c>
      <c r="D34" s="5">
        <v>249961</v>
      </c>
      <c r="E34" s="5">
        <v>500000</v>
      </c>
      <c r="F34" s="5">
        <v>699859</v>
      </c>
    </row>
    <row r="35" spans="2:6" x14ac:dyDescent="0.3">
      <c r="C35" t="s">
        <v>26</v>
      </c>
      <c r="D35" s="5">
        <v>737364</v>
      </c>
      <c r="E35" s="5">
        <v>645925</v>
      </c>
      <c r="F35" s="5">
        <v>655604</v>
      </c>
    </row>
    <row r="36" spans="2:6" x14ac:dyDescent="0.3">
      <c r="C36" t="s">
        <v>27</v>
      </c>
      <c r="D36" s="5">
        <v>220357</v>
      </c>
      <c r="E36" s="5">
        <v>257121</v>
      </c>
      <c r="F36" s="5">
        <v>310339</v>
      </c>
    </row>
    <row r="37" spans="2:6" x14ac:dyDescent="0.3">
      <c r="C37" t="s">
        <v>28</v>
      </c>
      <c r="D37" s="5">
        <v>94563</v>
      </c>
      <c r="E37" s="5">
        <v>122477</v>
      </c>
      <c r="F37" s="5">
        <v>110388</v>
      </c>
    </row>
    <row r="38" spans="2:6" x14ac:dyDescent="0.3">
      <c r="C38" t="s">
        <v>29</v>
      </c>
      <c r="D38" s="5">
        <v>150255</v>
      </c>
      <c r="E38" s="5">
        <v>152517</v>
      </c>
      <c r="F38" s="5">
        <v>159153</v>
      </c>
    </row>
    <row r="39" spans="2:6" x14ac:dyDescent="0.3">
      <c r="C39" t="s">
        <v>30</v>
      </c>
      <c r="D39" s="5">
        <v>1326107</v>
      </c>
      <c r="E39" s="5">
        <v>977702</v>
      </c>
      <c r="F39" s="5">
        <v>766938</v>
      </c>
    </row>
    <row r="40" spans="2:6" x14ac:dyDescent="0.3">
      <c r="C40" t="s">
        <v>31</v>
      </c>
      <c r="D40" s="5">
        <v>326920</v>
      </c>
      <c r="E40" s="5">
        <v>368704</v>
      </c>
      <c r="F40" s="5">
        <v>444479</v>
      </c>
    </row>
    <row r="41" spans="2:6" x14ac:dyDescent="0.3">
      <c r="C41" t="s">
        <v>32</v>
      </c>
      <c r="D41" s="5">
        <v>392766</v>
      </c>
      <c r="E41" s="5">
        <v>377070</v>
      </c>
      <c r="F41" s="5">
        <v>307005</v>
      </c>
    </row>
    <row r="42" spans="2:6" x14ac:dyDescent="0.3">
      <c r="C42" t="s">
        <v>33</v>
      </c>
      <c r="D42" s="5">
        <v>986097</v>
      </c>
      <c r="E42" s="5">
        <v>896249</v>
      </c>
      <c r="F42" s="5">
        <v>908305</v>
      </c>
    </row>
    <row r="43" spans="2:6" x14ac:dyDescent="0.3">
      <c r="C43" s="8" t="s">
        <v>34</v>
      </c>
      <c r="D43" s="9">
        <f>SUM(D34:D42)</f>
        <v>4484390</v>
      </c>
      <c r="E43" s="9">
        <f>SUM(E34:E42)</f>
        <v>4297765</v>
      </c>
      <c r="F43" s="9">
        <f>SUM(F34:F42)</f>
        <v>4362070</v>
      </c>
    </row>
    <row r="45" spans="2:6" x14ac:dyDescent="0.3">
      <c r="C45" t="s">
        <v>35</v>
      </c>
      <c r="D45" s="5">
        <v>1671</v>
      </c>
      <c r="E45" s="5">
        <v>1671</v>
      </c>
      <c r="F45" s="5">
        <v>1671</v>
      </c>
    </row>
    <row r="46" spans="2:6" x14ac:dyDescent="0.3">
      <c r="C46" t="s">
        <v>36</v>
      </c>
      <c r="D46" s="5">
        <v>549132</v>
      </c>
      <c r="E46" s="5">
        <v>583945</v>
      </c>
      <c r="F46" s="5">
        <v>627280</v>
      </c>
    </row>
    <row r="47" spans="2:6" x14ac:dyDescent="0.3">
      <c r="C47" t="s">
        <v>37</v>
      </c>
      <c r="D47" s="5">
        <v>6978119</v>
      </c>
      <c r="E47" s="5">
        <v>7373462</v>
      </c>
      <c r="F47" s="5">
        <v>7800696</v>
      </c>
    </row>
    <row r="48" spans="2:6" x14ac:dyDescent="0.3">
      <c r="C48" t="s">
        <v>38</v>
      </c>
      <c r="D48" s="5">
        <v>-3425164</v>
      </c>
      <c r="E48" s="5">
        <v>-3944573</v>
      </c>
      <c r="F48" s="5">
        <v>-4864562</v>
      </c>
    </row>
    <row r="49" spans="2:6" x14ac:dyDescent="0.3">
      <c r="C49" s="8" t="s">
        <v>39</v>
      </c>
      <c r="D49" s="9">
        <f>SUM(D45:D48)</f>
        <v>4103758</v>
      </c>
      <c r="E49" s="9">
        <f>SUM(E45:E48)</f>
        <v>4014505</v>
      </c>
      <c r="F49" s="9">
        <f>SUM(F45:F48)</f>
        <v>3565085</v>
      </c>
    </row>
    <row r="51" spans="2:6" x14ac:dyDescent="0.3">
      <c r="B51" t="s">
        <v>73</v>
      </c>
      <c r="C51" s="8" t="s">
        <v>40</v>
      </c>
      <c r="D51" s="9">
        <f>D49+D43</f>
        <v>8588148</v>
      </c>
      <c r="E51" s="9">
        <f>E49+E43</f>
        <v>8312270</v>
      </c>
      <c r="F51" s="9">
        <f>F49+F43</f>
        <v>7927155</v>
      </c>
    </row>
    <row r="53" spans="2:6" x14ac:dyDescent="0.3">
      <c r="C53" s="3" t="s">
        <v>41</v>
      </c>
      <c r="D53" t="str">
        <f>IF(D51=D30,"Balanced","Not Balanced")</f>
        <v>Balanced</v>
      </c>
      <c r="E53" t="str">
        <f>IF(E51=E30,"Balanced","Not Balanced")</f>
        <v>Balanced</v>
      </c>
      <c r="F53" t="str">
        <f>IF(F51=F30,"Balanced","Not Balanced")</f>
        <v>Balanced</v>
      </c>
    </row>
    <row r="56" spans="2:6" x14ac:dyDescent="0.3">
      <c r="C56" s="3" t="s">
        <v>42</v>
      </c>
      <c r="D56" s="10">
        <v>2023</v>
      </c>
      <c r="E56" s="10">
        <f>D56+1</f>
        <v>2024</v>
      </c>
      <c r="F56" s="10">
        <f t="shared" ref="F56" si="6">E56+1</f>
        <v>2025</v>
      </c>
    </row>
    <row r="57" spans="2:6" x14ac:dyDescent="0.3">
      <c r="C57" t="s">
        <v>43</v>
      </c>
      <c r="D57" s="4">
        <f>D13</f>
        <v>728287</v>
      </c>
      <c r="E57" s="4">
        <f t="shared" ref="E57:F57" si="7">E13</f>
        <v>570886</v>
      </c>
      <c r="F57" s="4">
        <f t="shared" si="7"/>
        <v>598282</v>
      </c>
    </row>
    <row r="58" spans="2:6" x14ac:dyDescent="0.3">
      <c r="C58" t="s">
        <v>44</v>
      </c>
      <c r="D58" s="5">
        <v>737954</v>
      </c>
      <c r="E58" s="5">
        <v>761141</v>
      </c>
      <c r="F58" s="5">
        <v>714785</v>
      </c>
    </row>
    <row r="59" spans="2:6" x14ac:dyDescent="0.3">
      <c r="C59" t="s">
        <v>45</v>
      </c>
      <c r="D59" s="5">
        <v>97666</v>
      </c>
      <c r="E59" s="5">
        <v>100178</v>
      </c>
      <c r="F59" s="5">
        <v>96007</v>
      </c>
    </row>
    <row r="60" spans="2:6" x14ac:dyDescent="0.3">
      <c r="C60" t="s">
        <v>54</v>
      </c>
      <c r="D60" s="5">
        <v>79189</v>
      </c>
      <c r="E60" s="5">
        <v>65686</v>
      </c>
      <c r="F60" s="5">
        <v>71753</v>
      </c>
    </row>
    <row r="61" spans="2:6" x14ac:dyDescent="0.3">
      <c r="C61" t="s">
        <v>46</v>
      </c>
      <c r="D61" s="5">
        <v>27806</v>
      </c>
      <c r="E61" s="5">
        <v>14557</v>
      </c>
      <c r="F61" s="5">
        <v>13739</v>
      </c>
    </row>
    <row r="62" spans="2:6" x14ac:dyDescent="0.3">
      <c r="C62" t="s">
        <v>47</v>
      </c>
      <c r="D62" s="5">
        <v>65566</v>
      </c>
      <c r="E62" s="5">
        <v>-89848</v>
      </c>
      <c r="F62" s="5">
        <v>12056</v>
      </c>
    </row>
    <row r="63" spans="2:6" x14ac:dyDescent="0.3">
      <c r="C63" t="s">
        <v>48</v>
      </c>
      <c r="D63" s="5">
        <v>259449</v>
      </c>
      <c r="E63" s="5">
        <v>110746</v>
      </c>
      <c r="F63" s="5">
        <v>63796</v>
      </c>
    </row>
    <row r="64" spans="2:6" x14ac:dyDescent="0.3">
      <c r="C64" t="s">
        <v>49</v>
      </c>
      <c r="D64" s="5">
        <v>12165</v>
      </c>
      <c r="E64" s="5">
        <v>-26182</v>
      </c>
      <c r="F64" s="5">
        <v>81854</v>
      </c>
    </row>
    <row r="65" spans="2:6" x14ac:dyDescent="0.3">
      <c r="C65" t="s">
        <v>50</v>
      </c>
      <c r="D65" s="5">
        <v>-39351</v>
      </c>
      <c r="E65" s="5">
        <v>94639</v>
      </c>
      <c r="F65" s="5">
        <v>17684</v>
      </c>
    </row>
    <row r="66" spans="2:6" x14ac:dyDescent="0.3">
      <c r="C66" t="s">
        <v>51</v>
      </c>
      <c r="D66" s="5">
        <v>-48346</v>
      </c>
      <c r="E66" s="5">
        <v>-109806</v>
      </c>
      <c r="F66" s="5">
        <v>59416</v>
      </c>
    </row>
    <row r="67" spans="2:6" x14ac:dyDescent="0.3">
      <c r="C67" t="s">
        <v>27</v>
      </c>
      <c r="D67" s="5">
        <v>18429</v>
      </c>
      <c r="E67" s="5">
        <v>48137</v>
      </c>
      <c r="F67" s="5">
        <v>61074</v>
      </c>
    </row>
    <row r="68" spans="2:6" x14ac:dyDescent="0.3">
      <c r="C68" t="s">
        <v>52</v>
      </c>
      <c r="D68" s="5">
        <v>-194196</v>
      </c>
      <c r="E68" s="5">
        <v>-56978</v>
      </c>
      <c r="F68" s="5">
        <v>-112174</v>
      </c>
    </row>
    <row r="69" spans="2:6" x14ac:dyDescent="0.3">
      <c r="B69" t="s">
        <v>73</v>
      </c>
      <c r="C69" s="8" t="s">
        <v>53</v>
      </c>
      <c r="D69" s="9">
        <f>SUM(D57:D68)</f>
        <v>1744618</v>
      </c>
      <c r="E69" s="9">
        <f>SUM(E57:E68)</f>
        <v>1483156</v>
      </c>
      <c r="F69" s="9">
        <f>SUM(F57:F68)</f>
        <v>1678272</v>
      </c>
    </row>
    <row r="71" spans="2:6" x14ac:dyDescent="0.3">
      <c r="C71" t="s">
        <v>55</v>
      </c>
      <c r="D71" s="5">
        <v>-1862431</v>
      </c>
      <c r="E71" s="5">
        <v>-865373</v>
      </c>
      <c r="F71" s="5">
        <v>-730687</v>
      </c>
    </row>
    <row r="72" spans="2:6" x14ac:dyDescent="0.3">
      <c r="C72" t="s">
        <v>56</v>
      </c>
      <c r="D72" s="5">
        <v>262216</v>
      </c>
      <c r="E72" s="5">
        <v>190967</v>
      </c>
      <c r="F72" s="5">
        <v>155913</v>
      </c>
    </row>
    <row r="73" spans="2:6" x14ac:dyDescent="0.3">
      <c r="C73" t="s">
        <v>57</v>
      </c>
      <c r="D73" s="5">
        <v>0</v>
      </c>
      <c r="E73" s="5">
        <v>6929</v>
      </c>
      <c r="F73" s="5">
        <v>0</v>
      </c>
    </row>
    <row r="74" spans="2:6" x14ac:dyDescent="0.3">
      <c r="C74" t="s">
        <v>58</v>
      </c>
      <c r="D74" s="5">
        <v>-85000</v>
      </c>
      <c r="E74" s="5">
        <v>3785</v>
      </c>
      <c r="F74" s="5">
        <v>0</v>
      </c>
    </row>
    <row r="75" spans="2:6" x14ac:dyDescent="0.3">
      <c r="B75" t="s">
        <v>73</v>
      </c>
      <c r="C75" s="8" t="s">
        <v>59</v>
      </c>
      <c r="D75" s="9">
        <f>SUM(D71:D74)</f>
        <v>-1685215</v>
      </c>
      <c r="E75" s="9">
        <f t="shared" ref="E75:F75" si="8">SUM(E71:E74)</f>
        <v>-663692</v>
      </c>
      <c r="F75" s="9">
        <f t="shared" si="8"/>
        <v>-574774</v>
      </c>
    </row>
    <row r="77" spans="2:6" x14ac:dyDescent="0.3">
      <c r="C77" t="s">
        <v>60</v>
      </c>
      <c r="D77" s="5">
        <v>0</v>
      </c>
      <c r="E77" s="5">
        <v>0</v>
      </c>
      <c r="F77" s="5">
        <v>750000</v>
      </c>
    </row>
    <row r="78" spans="2:6" x14ac:dyDescent="0.3">
      <c r="C78" t="s">
        <v>61</v>
      </c>
      <c r="D78" s="5">
        <v>0</v>
      </c>
      <c r="E78" s="5">
        <v>-250000</v>
      </c>
      <c r="F78" s="5">
        <v>-500000</v>
      </c>
    </row>
    <row r="79" spans="2:6" x14ac:dyDescent="0.3">
      <c r="C79" t="s">
        <v>62</v>
      </c>
      <c r="D79" s="5">
        <v>2223600</v>
      </c>
      <c r="E79" s="5">
        <v>3070600</v>
      </c>
      <c r="F79" s="5">
        <v>2476800</v>
      </c>
    </row>
    <row r="80" spans="2:6" x14ac:dyDescent="0.3">
      <c r="C80" t="s">
        <v>63</v>
      </c>
      <c r="D80" s="5">
        <v>-1911100</v>
      </c>
      <c r="E80" s="5">
        <v>-2920600</v>
      </c>
      <c r="F80" s="5">
        <v>-2740542</v>
      </c>
    </row>
    <row r="81" spans="2:6" x14ac:dyDescent="0.3">
      <c r="C81" t="s">
        <v>64</v>
      </c>
      <c r="D81" s="5">
        <v>-159576</v>
      </c>
      <c r="E81" s="5">
        <v>-513924</v>
      </c>
      <c r="F81" s="5">
        <v>-923292</v>
      </c>
    </row>
    <row r="82" spans="2:6" x14ac:dyDescent="0.3">
      <c r="C82" t="s">
        <v>65</v>
      </c>
      <c r="D82" s="5">
        <v>-37012</v>
      </c>
      <c r="E82" s="5">
        <v>-36358</v>
      </c>
      <c r="F82" s="5">
        <v>-25115</v>
      </c>
    </row>
    <row r="83" spans="2:6" x14ac:dyDescent="0.3">
      <c r="C83" t="s">
        <v>66</v>
      </c>
      <c r="D83" s="5">
        <v>-173898</v>
      </c>
      <c r="E83" s="5">
        <v>-175543</v>
      </c>
      <c r="F83" s="5">
        <v>-171048</v>
      </c>
    </row>
    <row r="84" spans="2:6" x14ac:dyDescent="0.3">
      <c r="C84" s="8" t="s">
        <v>67</v>
      </c>
      <c r="D84" s="9">
        <f>SUM(D77:D83)</f>
        <v>-57986</v>
      </c>
      <c r="E84" s="9">
        <f t="shared" ref="E84:F84" si="9">SUM(E77:E83)</f>
        <v>-825825</v>
      </c>
      <c r="F84" s="9">
        <f t="shared" si="9"/>
        <v>-1133197</v>
      </c>
    </row>
    <row r="86" spans="2:6" x14ac:dyDescent="0.3">
      <c r="C86" t="s">
        <v>68</v>
      </c>
      <c r="D86" s="4">
        <f>D69+D75+D84</f>
        <v>1417</v>
      </c>
      <c r="E86" s="4">
        <f t="shared" ref="E86:F86" si="10">E69+E75+E84</f>
        <v>-6361</v>
      </c>
      <c r="F86" s="4">
        <f t="shared" si="10"/>
        <v>-29699</v>
      </c>
    </row>
    <row r="87" spans="2:6" x14ac:dyDescent="0.3">
      <c r="C87" s="15" t="s">
        <v>69</v>
      </c>
      <c r="D87" s="16">
        <v>51927</v>
      </c>
      <c r="E87" s="16">
        <v>53344</v>
      </c>
      <c r="F87" s="16">
        <v>46983</v>
      </c>
    </row>
    <row r="88" spans="2:6" x14ac:dyDescent="0.3">
      <c r="B88" t="s">
        <v>73</v>
      </c>
      <c r="C88" s="13" t="s">
        <v>70</v>
      </c>
      <c r="D88" s="14">
        <f>SUM(D86:D87)</f>
        <v>53344</v>
      </c>
      <c r="E88" s="14">
        <f t="shared" ref="E88:F88" si="11">SUM(E86:E87)</f>
        <v>46983</v>
      </c>
      <c r="F88" s="14">
        <f t="shared" si="11"/>
        <v>17284</v>
      </c>
    </row>
    <row r="92" spans="2:6" x14ac:dyDescent="0.3">
      <c r="C92" s="3" t="s">
        <v>141</v>
      </c>
    </row>
    <row r="93" spans="2:6" x14ac:dyDescent="0.3">
      <c r="C93" t="s">
        <v>142</v>
      </c>
      <c r="D93" s="45">
        <f>D58/D6</f>
        <v>5.7519350661143533E-2</v>
      </c>
      <c r="E93" s="45">
        <f t="shared" ref="E93:F93" si="12">E58/E6</f>
        <v>6.2970807806338014E-2</v>
      </c>
      <c r="F93" s="45">
        <f t="shared" si="12"/>
        <v>5.9569904266121382E-2</v>
      </c>
    </row>
    <row r="94" spans="2:6" x14ac:dyDescent="0.3">
      <c r="C94" t="s">
        <v>146</v>
      </c>
      <c r="D94" s="45">
        <f>-D71/D6</f>
        <v>0.14516598835589237</v>
      </c>
      <c r="E94" s="45">
        <f t="shared" ref="E94:F94" si="13">-E71/E6</f>
        <v>7.1594142036487507E-2</v>
      </c>
      <c r="F94" s="45">
        <f t="shared" si="13"/>
        <v>6.0895170769531305E-2</v>
      </c>
    </row>
  </sheetData>
  <pageMargins left="0.7" right="0.7" top="0.75" bottom="0.75" header="0.3" footer="0.3"/>
  <ignoredErrors>
    <ignoredError sqref="D4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9B179-4EA8-49B7-B809-AAD39E483BB4}">
  <sheetPr>
    <tabColor rgb="FF00B050"/>
  </sheetPr>
  <dimension ref="B2:F21"/>
  <sheetViews>
    <sheetView showGridLines="0" topLeftCell="B2" workbookViewId="0">
      <selection activeCell="F20" sqref="F20"/>
    </sheetView>
  </sheetViews>
  <sheetFormatPr defaultRowHeight="14.4" x14ac:dyDescent="0.3"/>
  <cols>
    <col min="2" max="2" width="30.77734375" customWidth="1"/>
    <col min="3" max="3" width="17.77734375" customWidth="1"/>
    <col min="4" max="4" width="11.44140625" bestFit="1" customWidth="1"/>
    <col min="5" max="6" width="10.77734375" bestFit="1" customWidth="1"/>
  </cols>
  <sheetData>
    <row r="2" spans="2:6" ht="36.6" x14ac:dyDescent="0.7">
      <c r="B2" s="17" t="s">
        <v>72</v>
      </c>
    </row>
    <row r="4" spans="2:6" x14ac:dyDescent="0.3">
      <c r="C4" s="3" t="s">
        <v>74</v>
      </c>
      <c r="D4" s="29">
        <v>2023</v>
      </c>
      <c r="E4" s="29">
        <f>D4+1</f>
        <v>2024</v>
      </c>
      <c r="F4" s="29">
        <f>E4+1</f>
        <v>2025</v>
      </c>
    </row>
    <row r="6" spans="2:6" x14ac:dyDescent="0.3">
      <c r="C6" s="8" t="s">
        <v>75</v>
      </c>
      <c r="D6" s="21" t="s">
        <v>81</v>
      </c>
      <c r="E6" s="39">
        <f>('Historical Financials'!E6-'Historical Financials'!D6)/'Historical Financials'!D6</f>
        <v>-5.7870645882024202E-2</v>
      </c>
      <c r="F6" s="39">
        <f>('Historical Financials'!F6-'Historical Financials'!E6)/'Historical Financials'!E6</f>
        <v>-7.2893615430003498E-3</v>
      </c>
    </row>
    <row r="8" spans="2:6" x14ac:dyDescent="0.3">
      <c r="C8" s="8" t="s">
        <v>76</v>
      </c>
      <c r="D8" s="39">
        <f>('Historical Financials'!D8+'Historical Financials'!D58)/'Historical Financials'!D6</f>
        <v>0.13493337511150916</v>
      </c>
      <c r="E8" s="39">
        <f>('Historical Financials'!E8+'Historical Financials'!E58)/'Historical Financials'!E6</f>
        <v>0.13173981344238089</v>
      </c>
      <c r="F8" s="39">
        <f>('Historical Financials'!F8+'Historical Financials'!F58)/'Historical Financials'!F6</f>
        <v>0.13166441871954354</v>
      </c>
    </row>
    <row r="10" spans="2:6" x14ac:dyDescent="0.3">
      <c r="C10" s="8" t="s">
        <v>77</v>
      </c>
      <c r="D10" s="39">
        <f>'Historical Financials'!D8/'Historical Financials'!D6</f>
        <v>7.7414024450365618E-2</v>
      </c>
      <c r="E10" s="39">
        <f>'Historical Financials'!E8/'Historical Financials'!E6</f>
        <v>6.8769005636042879E-2</v>
      </c>
      <c r="F10" s="39">
        <f>'Historical Financials'!F8/'Historical Financials'!F6</f>
        <v>7.2094514453422159E-2</v>
      </c>
    </row>
    <row r="14" spans="2:6" ht="15.6" x14ac:dyDescent="0.3">
      <c r="C14" s="19" t="s">
        <v>78</v>
      </c>
    </row>
    <row r="16" spans="2:6" x14ac:dyDescent="0.3">
      <c r="C16" s="3" t="s">
        <v>79</v>
      </c>
      <c r="D16" s="40">
        <f>('Historical Financials'!D34+'Historical Financials'!D39)/('Historical Financials'!D8+'Historical Financials'!D58)</f>
        <v>0.91041677497617191</v>
      </c>
      <c r="E16" s="40">
        <f>('Historical Financials'!E34+'Historical Financials'!E39)/('Historical Financials'!E8+'Historical Financials'!E58)</f>
        <v>0.92799142910612253</v>
      </c>
      <c r="F16" s="40">
        <f>('Historical Financials'!F34+'Historical Financials'!F39)/('Historical Financials'!F8+'Historical Financials'!F58)</f>
        <v>0.92843832404766513</v>
      </c>
    </row>
    <row r="17" spans="2:6" x14ac:dyDescent="0.3">
      <c r="C17" s="8" t="s">
        <v>80</v>
      </c>
      <c r="D17" s="41">
        <f>('Historical Financials'!D34+'Historical Financials'!D39-'Historical Financials'!D18)/('Historical Financials'!D8+'Historical Financials'!D58)</f>
        <v>0.87960257632209804</v>
      </c>
      <c r="E17" s="41">
        <f>('Historical Financials'!E34+'Historical Financials'!E39-'Historical Financials'!E18)/('Historical Financials'!E8+'Historical Financials'!E58)</f>
        <v>0.89848627765224831</v>
      </c>
      <c r="F17" s="41">
        <f>('Historical Financials'!F34+'Historical Financials'!F39-'Historical Financials'!F18)/('Historical Financials'!F8+'Historical Financials'!F58)</f>
        <v>0.91749807260670924</v>
      </c>
    </row>
    <row r="19" spans="2:6" x14ac:dyDescent="0.3">
      <c r="C19" s="8" t="s">
        <v>82</v>
      </c>
      <c r="D19" s="42">
        <f>'Historical Financials'!D8/-'Historical Financials'!D10</f>
        <v>15.063716196745181</v>
      </c>
      <c r="E19" s="42">
        <f>'Historical Financials'!E8/-'Historical Financials'!E10</f>
        <v>10.519172361427486</v>
      </c>
      <c r="F19" s="42">
        <f>'Historical Financials'!F8/-'Historical Financials'!F10</f>
        <v>11.502659362284923</v>
      </c>
    </row>
    <row r="20" spans="2:6" x14ac:dyDescent="0.3">
      <c r="B20" t="s">
        <v>83</v>
      </c>
      <c r="C20" s="3" t="s">
        <v>84</v>
      </c>
      <c r="D20" s="43">
        <f>'Historical Financials'!D69+'Historical Financials'!D71</f>
        <v>-117813</v>
      </c>
      <c r="E20" s="43">
        <f>'Historical Financials'!E69+'Historical Financials'!E71</f>
        <v>617783</v>
      </c>
      <c r="F20" s="43">
        <f>'Historical Financials'!F69+'Historical Financials'!F71</f>
        <v>947585</v>
      </c>
    </row>
    <row r="21" spans="2:6" x14ac:dyDescent="0.3">
      <c r="C21" s="3" t="s">
        <v>85</v>
      </c>
      <c r="D21" s="23">
        <f>D20/-'Historical Financials'!D10</f>
        <v>-1.7868593875600989</v>
      </c>
      <c r="E21" s="23">
        <f>E20/-'Historical Financials'!E10</f>
        <v>7.8180587193115665</v>
      </c>
      <c r="F21" s="23">
        <f>F20/-'Historical Financials'!F10</f>
        <v>12.599859053798898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58EE5-9B41-4755-A0F3-63D4FBF07872}">
  <sheetPr>
    <tabColor rgb="FF00B050"/>
  </sheetPr>
  <dimension ref="B2:I19"/>
  <sheetViews>
    <sheetView showGridLines="0" workbookViewId="0">
      <selection activeCell="D18" sqref="D18"/>
    </sheetView>
  </sheetViews>
  <sheetFormatPr defaultRowHeight="14.4" x14ac:dyDescent="0.3"/>
  <cols>
    <col min="1" max="1" width="4.77734375" customWidth="1"/>
    <col min="2" max="2" width="15.77734375" customWidth="1"/>
    <col min="3" max="3" width="22.77734375" customWidth="1"/>
    <col min="4" max="6" width="12.77734375" customWidth="1"/>
  </cols>
  <sheetData>
    <row r="2" spans="2:9" ht="25.8" x14ac:dyDescent="0.5">
      <c r="B2" s="24" t="s">
        <v>86</v>
      </c>
    </row>
    <row r="4" spans="2:9" x14ac:dyDescent="0.3">
      <c r="C4" s="18" t="s">
        <v>87</v>
      </c>
      <c r="D4" s="20">
        <v>2023</v>
      </c>
      <c r="E4" s="20">
        <f>D4+1</f>
        <v>2024</v>
      </c>
      <c r="F4" s="20">
        <f>E4+1</f>
        <v>2025</v>
      </c>
    </row>
    <row r="5" spans="2:9" x14ac:dyDescent="0.3">
      <c r="C5" t="s">
        <v>88</v>
      </c>
      <c r="D5" s="60">
        <f>'Historical Financials'!D88</f>
        <v>53344</v>
      </c>
      <c r="E5" s="60">
        <f>'Historical Financials'!E88</f>
        <v>46983</v>
      </c>
      <c r="F5" s="60">
        <f>'Historical Financials'!F88</f>
        <v>17284</v>
      </c>
      <c r="I5" s="70"/>
    </row>
    <row r="6" spans="2:9" x14ac:dyDescent="0.3">
      <c r="C6" t="s">
        <v>89</v>
      </c>
      <c r="D6" s="60">
        <f>'Historical Financials'!D23</f>
        <v>1961192</v>
      </c>
      <c r="E6" s="60">
        <f>'Historical Financials'!E23</f>
        <v>1770983</v>
      </c>
      <c r="F6" s="60">
        <f>'Historical Financials'!F23</f>
        <v>1604190</v>
      </c>
    </row>
    <row r="7" spans="2:9" x14ac:dyDescent="0.3">
      <c r="C7" t="s">
        <v>90</v>
      </c>
      <c r="D7" s="60">
        <f>SUM('Historical Financials'!D34:D38)</f>
        <v>1452500</v>
      </c>
      <c r="E7" s="60">
        <f>SUM('Historical Financials'!E34:E38)</f>
        <v>1678040</v>
      </c>
      <c r="F7" s="60">
        <f>SUM('Historical Financials'!F34:F38)</f>
        <v>1935343</v>
      </c>
    </row>
    <row r="8" spans="2:9" x14ac:dyDescent="0.3">
      <c r="C8" t="s">
        <v>91</v>
      </c>
      <c r="D8" s="60">
        <f>'Historical Financials'!D34</f>
        <v>249961</v>
      </c>
      <c r="E8" s="60">
        <f>'Historical Financials'!E34</f>
        <v>500000</v>
      </c>
      <c r="F8" s="60">
        <f>'Historical Financials'!F34</f>
        <v>699859</v>
      </c>
    </row>
    <row r="9" spans="2:9" x14ac:dyDescent="0.3">
      <c r="C9" t="s">
        <v>92</v>
      </c>
      <c r="D9" s="60">
        <f>'Historical Financials'!D69</f>
        <v>1744618</v>
      </c>
      <c r="E9" s="60">
        <f>'Historical Financials'!E69</f>
        <v>1483156</v>
      </c>
      <c r="F9" s="60">
        <f>'Historical Financials'!F69</f>
        <v>1678272</v>
      </c>
    </row>
    <row r="10" spans="2:9" x14ac:dyDescent="0.3">
      <c r="C10" t="s">
        <v>93</v>
      </c>
      <c r="D10" s="60">
        <f>'Credit Ratios'!D20</f>
        <v>-117813</v>
      </c>
      <c r="E10" s="60">
        <f>'Credit Ratios'!E20</f>
        <v>617783</v>
      </c>
      <c r="F10" s="60">
        <f>'Credit Ratios'!F20</f>
        <v>947585</v>
      </c>
    </row>
    <row r="11" spans="2:9" x14ac:dyDescent="0.3">
      <c r="C11" t="s">
        <v>94</v>
      </c>
      <c r="D11" s="27">
        <v>870000</v>
      </c>
      <c r="E11" s="27">
        <v>720000</v>
      </c>
      <c r="F11" s="27">
        <v>973200</v>
      </c>
    </row>
    <row r="12" spans="2:9" x14ac:dyDescent="0.3">
      <c r="C12" s="8" t="s">
        <v>95</v>
      </c>
      <c r="D12" s="28">
        <f>D11+D5</f>
        <v>923344</v>
      </c>
      <c r="E12" s="28">
        <f t="shared" ref="E12:F12" si="0">E11+E5</f>
        <v>766983</v>
      </c>
      <c r="F12" s="28">
        <f t="shared" si="0"/>
        <v>990484</v>
      </c>
    </row>
    <row r="16" spans="2:9" x14ac:dyDescent="0.3">
      <c r="C16" s="18" t="s">
        <v>96</v>
      </c>
    </row>
    <row r="17" spans="3:6" x14ac:dyDescent="0.3">
      <c r="C17" t="s">
        <v>97</v>
      </c>
      <c r="D17" s="22">
        <f>D6/D7</f>
        <v>1.3502182444061963</v>
      </c>
      <c r="E17" s="22">
        <f t="shared" ref="E17:F17" si="1">E6/E7</f>
        <v>1.0553878334247098</v>
      </c>
      <c r="F17" s="22">
        <f t="shared" si="1"/>
        <v>0.82889182951032447</v>
      </c>
    </row>
    <row r="18" spans="3:6" x14ac:dyDescent="0.3">
      <c r="C18" t="s">
        <v>98</v>
      </c>
      <c r="D18" s="26">
        <f>D12</f>
        <v>923344</v>
      </c>
      <c r="E18" s="26">
        <f t="shared" ref="E18:F18" si="2">E12</f>
        <v>766983</v>
      </c>
      <c r="F18" s="26">
        <f t="shared" si="2"/>
        <v>990484</v>
      </c>
    </row>
    <row r="19" spans="3:6" x14ac:dyDescent="0.3">
      <c r="C19" t="s">
        <v>99</v>
      </c>
      <c r="D19" s="22">
        <f>D12/D7</f>
        <v>0.63569294320137693</v>
      </c>
      <c r="E19" s="22">
        <f t="shared" ref="E19:F19" si="3">E12/E7</f>
        <v>0.45707074920740864</v>
      </c>
      <c r="F19" s="22">
        <f t="shared" si="3"/>
        <v>0.51178731625350127</v>
      </c>
    </row>
  </sheetData>
  <pageMargins left="0.7" right="0.7" top="0.75" bottom="0.75" header="0.3" footer="0.3"/>
  <ignoredErrors>
    <ignoredError sqref="D7:F7" formulaRange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05F0-9CFF-4368-B916-A8984CDD5D3B}">
  <sheetPr>
    <tabColor rgb="FF00B050"/>
  </sheetPr>
  <dimension ref="B2:G35"/>
  <sheetViews>
    <sheetView showGridLines="0" topLeftCell="A5" workbookViewId="0">
      <selection activeCell="F26" sqref="F26"/>
    </sheetView>
  </sheetViews>
  <sheetFormatPr defaultRowHeight="14.4" x14ac:dyDescent="0.3"/>
  <cols>
    <col min="2" max="4" width="15.77734375" customWidth="1"/>
    <col min="5" max="5" width="24.77734375" customWidth="1"/>
    <col min="6" max="6" width="12.77734375" customWidth="1"/>
    <col min="7" max="7" width="13.77734375" customWidth="1"/>
  </cols>
  <sheetData>
    <row r="2" spans="2:6" ht="25.8" x14ac:dyDescent="0.5">
      <c r="B2" s="24" t="s">
        <v>100</v>
      </c>
    </row>
    <row r="4" spans="2:6" x14ac:dyDescent="0.3">
      <c r="B4" t="s">
        <v>107</v>
      </c>
      <c r="C4" s="18">
        <v>2025</v>
      </c>
    </row>
    <row r="5" spans="2:6" x14ac:dyDescent="0.3">
      <c r="C5" s="30" t="s">
        <v>103</v>
      </c>
      <c r="D5" s="31" t="s">
        <v>101</v>
      </c>
      <c r="E5" s="31" t="s">
        <v>102</v>
      </c>
      <c r="F5" s="31" t="s">
        <v>102</v>
      </c>
    </row>
    <row r="6" spans="2:6" x14ac:dyDescent="0.3">
      <c r="C6" s="30" t="s">
        <v>104</v>
      </c>
      <c r="D6" s="72">
        <v>26800</v>
      </c>
      <c r="E6" s="72">
        <v>700000</v>
      </c>
      <c r="F6" s="72">
        <v>750000</v>
      </c>
    </row>
    <row r="7" spans="2:6" x14ac:dyDescent="0.3">
      <c r="C7" s="30" t="s">
        <v>105</v>
      </c>
      <c r="D7" s="73">
        <v>4.6199999999999998E-2</v>
      </c>
      <c r="E7" s="73">
        <v>3.875E-2</v>
      </c>
      <c r="F7" s="73">
        <v>4.9000000000000002E-2</v>
      </c>
    </row>
    <row r="8" spans="2:6" x14ac:dyDescent="0.3">
      <c r="C8" s="30" t="s">
        <v>106</v>
      </c>
      <c r="D8" s="32">
        <v>47788</v>
      </c>
      <c r="E8" s="32">
        <v>46082</v>
      </c>
      <c r="F8" s="32">
        <v>47543</v>
      </c>
    </row>
    <row r="10" spans="2:6" x14ac:dyDescent="0.3">
      <c r="C10" s="30" t="s">
        <v>108</v>
      </c>
      <c r="D10" s="33">
        <f>D6+E6+F6</f>
        <v>1476800</v>
      </c>
      <c r="E10" s="30" t="s">
        <v>109</v>
      </c>
      <c r="F10" s="33">
        <f>D10-('Historical Financials'!F34+'Historical Financials'!F39)</f>
        <v>10003</v>
      </c>
    </row>
    <row r="12" spans="2:6" x14ac:dyDescent="0.3">
      <c r="C12" s="18">
        <v>2024</v>
      </c>
    </row>
    <row r="13" spans="2:6" x14ac:dyDescent="0.3">
      <c r="C13" s="30" t="s">
        <v>103</v>
      </c>
      <c r="D13" s="31" t="s">
        <v>101</v>
      </c>
      <c r="E13" s="31" t="s">
        <v>102</v>
      </c>
      <c r="F13" s="31" t="s">
        <v>110</v>
      </c>
    </row>
    <row r="14" spans="2:6" x14ac:dyDescent="0.3">
      <c r="C14" s="30" t="s">
        <v>104</v>
      </c>
      <c r="D14" s="72">
        <v>280000</v>
      </c>
      <c r="E14" s="72">
        <v>700000</v>
      </c>
      <c r="F14" s="72">
        <v>500000</v>
      </c>
    </row>
    <row r="15" spans="2:6" x14ac:dyDescent="0.3">
      <c r="C15" s="30" t="s">
        <v>105</v>
      </c>
      <c r="D15" s="73">
        <v>5.4800000000000001E-2</v>
      </c>
      <c r="E15" s="73">
        <v>3.875E-2</v>
      </c>
      <c r="F15" s="73">
        <v>5.4800000000000001E-2</v>
      </c>
    </row>
    <row r="16" spans="2:6" x14ac:dyDescent="0.3">
      <c r="C16" s="30" t="s">
        <v>106</v>
      </c>
      <c r="D16" s="32">
        <v>46631</v>
      </c>
      <c r="E16" s="32">
        <v>46082</v>
      </c>
      <c r="F16" s="32">
        <v>45901</v>
      </c>
    </row>
    <row r="18" spans="3:7" x14ac:dyDescent="0.3">
      <c r="C18" s="34" t="s">
        <v>111</v>
      </c>
      <c r="D18" s="33">
        <f>D14+E14+F14</f>
        <v>1480000</v>
      </c>
      <c r="E18" s="34" t="s">
        <v>109</v>
      </c>
      <c r="F18" s="33">
        <f>D18-('Historical Financials'!E34+'Historical Financials'!E39)</f>
        <v>2298</v>
      </c>
    </row>
    <row r="20" spans="3:7" x14ac:dyDescent="0.3">
      <c r="C20" s="18">
        <v>2023</v>
      </c>
    </row>
    <row r="21" spans="3:7" x14ac:dyDescent="0.3">
      <c r="C21" s="30" t="s">
        <v>103</v>
      </c>
      <c r="D21" s="31" t="s">
        <v>101</v>
      </c>
      <c r="E21" s="31" t="s">
        <v>102</v>
      </c>
      <c r="F21" s="31" t="s">
        <v>102</v>
      </c>
      <c r="G21" s="31" t="s">
        <v>110</v>
      </c>
    </row>
    <row r="22" spans="3:7" x14ac:dyDescent="0.3">
      <c r="C22" s="30" t="s">
        <v>104</v>
      </c>
      <c r="D22" s="72">
        <v>130000</v>
      </c>
      <c r="E22" s="72">
        <v>250000</v>
      </c>
      <c r="F22" s="72">
        <v>700000</v>
      </c>
      <c r="G22" s="72">
        <v>500000</v>
      </c>
    </row>
    <row r="23" spans="3:7" x14ac:dyDescent="0.3">
      <c r="C23" s="30" t="s">
        <v>105</v>
      </c>
      <c r="D23" s="73">
        <v>6.4399999999999999E-2</v>
      </c>
      <c r="E23" s="73">
        <v>3.85E-2</v>
      </c>
      <c r="F23" s="73">
        <v>3.875E-2</v>
      </c>
      <c r="G23" s="73">
        <v>6.4399999999999999E-2</v>
      </c>
    </row>
    <row r="24" spans="3:7" x14ac:dyDescent="0.3">
      <c r="C24" s="30" t="s">
        <v>106</v>
      </c>
      <c r="D24" s="32">
        <v>46631</v>
      </c>
      <c r="E24" s="32">
        <v>45352</v>
      </c>
      <c r="F24" s="32">
        <v>46082</v>
      </c>
      <c r="G24" s="32">
        <v>45901</v>
      </c>
    </row>
    <row r="26" spans="3:7" x14ac:dyDescent="0.3">
      <c r="C26" s="34" t="s">
        <v>112</v>
      </c>
      <c r="D26" s="33">
        <f>SUM(D22:G22)</f>
        <v>1580000</v>
      </c>
      <c r="E26" s="34" t="s">
        <v>113</v>
      </c>
      <c r="F26" s="33">
        <f>D26-('Historical Financials'!D34+'Historical Financials'!D39)</f>
        <v>3932</v>
      </c>
    </row>
    <row r="29" spans="3:7" x14ac:dyDescent="0.3">
      <c r="C29" s="36" t="s">
        <v>114</v>
      </c>
      <c r="D29" s="37"/>
    </row>
    <row r="30" spans="3:7" x14ac:dyDescent="0.3">
      <c r="C30" s="38">
        <v>2026</v>
      </c>
      <c r="D30" s="37">
        <f>E6</f>
        <v>700000</v>
      </c>
    </row>
    <row r="31" spans="3:7" x14ac:dyDescent="0.3">
      <c r="C31" s="38">
        <v>2027</v>
      </c>
      <c r="D31" s="36">
        <v>0</v>
      </c>
    </row>
    <row r="32" spans="3:7" x14ac:dyDescent="0.3">
      <c r="C32" s="38">
        <v>2028</v>
      </c>
      <c r="D32" s="36">
        <v>0</v>
      </c>
    </row>
    <row r="33" spans="3:4" x14ac:dyDescent="0.3">
      <c r="C33" s="38">
        <v>2029</v>
      </c>
      <c r="D33" s="36">
        <v>0</v>
      </c>
    </row>
    <row r="34" spans="3:4" x14ac:dyDescent="0.3">
      <c r="C34" s="38">
        <v>2030</v>
      </c>
      <c r="D34" s="37">
        <f>D6+F6</f>
        <v>776800</v>
      </c>
    </row>
    <row r="35" spans="3:4" x14ac:dyDescent="0.3">
      <c r="C35" s="30" t="s">
        <v>115</v>
      </c>
      <c r="D35" s="33">
        <f>SUM(D30:D34)</f>
        <v>1476800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9F58-787A-4F61-88B9-6B3B4F5AD86F}">
  <sheetPr>
    <tabColor theme="8"/>
  </sheetPr>
  <dimension ref="A2:F45"/>
  <sheetViews>
    <sheetView showGridLines="0" workbookViewId="0">
      <selection activeCell="C1" sqref="C1"/>
    </sheetView>
  </sheetViews>
  <sheetFormatPr defaultRowHeight="14.4" x14ac:dyDescent="0.3"/>
  <cols>
    <col min="2" max="2" width="25.77734375" customWidth="1"/>
    <col min="3" max="3" width="15.77734375" customWidth="1"/>
    <col min="4" max="4" width="14.77734375" customWidth="1"/>
    <col min="5" max="6" width="12.21875" bestFit="1" customWidth="1"/>
  </cols>
  <sheetData>
    <row r="2" spans="1:6" ht="33" x14ac:dyDescent="0.65">
      <c r="B2" s="44" t="s">
        <v>116</v>
      </c>
    </row>
    <row r="4" spans="1:6" x14ac:dyDescent="0.3">
      <c r="A4" t="s">
        <v>73</v>
      </c>
      <c r="B4" s="36" t="s">
        <v>107</v>
      </c>
      <c r="C4" s="51">
        <v>2025</v>
      </c>
      <c r="D4" s="52">
        <v>2026</v>
      </c>
      <c r="E4" s="52">
        <v>2027</v>
      </c>
      <c r="F4" s="52">
        <v>2028</v>
      </c>
    </row>
    <row r="5" spans="1:6" x14ac:dyDescent="0.3">
      <c r="B5" s="30" t="s">
        <v>117</v>
      </c>
      <c r="C5" s="53">
        <f>'Historical Financials'!F6</f>
        <v>11999096</v>
      </c>
      <c r="D5" s="35">
        <f>C5*(1+D18)</f>
        <v>12719041.76</v>
      </c>
      <c r="E5" s="35">
        <f>D5*(1+E18)</f>
        <v>13227803.430400001</v>
      </c>
      <c r="F5" s="35">
        <f>E5*(1+F18)</f>
        <v>13756915.567616001</v>
      </c>
    </row>
    <row r="6" spans="1:6" x14ac:dyDescent="0.3">
      <c r="B6" s="30" t="s">
        <v>71</v>
      </c>
      <c r="C6" s="53">
        <f>'Historical Financials'!F8</f>
        <v>865069</v>
      </c>
      <c r="D6" s="35">
        <f>D5*D19</f>
        <v>953928.13199999998</v>
      </c>
      <c r="E6" s="35">
        <f t="shared" ref="E6:F6" si="0">E5*E19</f>
        <v>962444.15081442031</v>
      </c>
      <c r="F6" s="35">
        <f t="shared" si="0"/>
        <v>1000941.9168469971</v>
      </c>
    </row>
    <row r="7" spans="1:6" x14ac:dyDescent="0.3">
      <c r="B7" s="30" t="s">
        <v>143</v>
      </c>
      <c r="C7" s="53">
        <f>'Historical Financials'!F58</f>
        <v>714785</v>
      </c>
      <c r="D7" s="35">
        <f>D5*AVERAGE('Historical Financials'!$D$93:$F$93)</f>
        <v>763397.15240563848</v>
      </c>
      <c r="E7" s="35">
        <f>E5*AVERAGE('Historical Financials'!$D$93:$F$93)</f>
        <v>793933.03850186407</v>
      </c>
      <c r="F7" s="35">
        <f>F5*AVERAGE('Historical Financials'!$D$93:$F$93)</f>
        <v>825690.36004193861</v>
      </c>
    </row>
    <row r="8" spans="1:6" x14ac:dyDescent="0.3">
      <c r="B8" s="30" t="s">
        <v>144</v>
      </c>
      <c r="C8" s="71">
        <f>C6+C7</f>
        <v>1579854</v>
      </c>
      <c r="D8" s="35">
        <f>D6+D7</f>
        <v>1717325.2844056385</v>
      </c>
      <c r="E8" s="35">
        <f t="shared" ref="E8:F8" si="1">E6+E7</f>
        <v>1756377.1893162844</v>
      </c>
      <c r="F8" s="35">
        <f t="shared" si="1"/>
        <v>1826632.2768889358</v>
      </c>
    </row>
    <row r="9" spans="1:6" x14ac:dyDescent="0.3">
      <c r="B9" s="30" t="s">
        <v>147</v>
      </c>
      <c r="C9" s="53">
        <f>'Historical Financials'!F71</f>
        <v>-730687</v>
      </c>
      <c r="D9" s="35">
        <f>-D5*D22</f>
        <v>-890332.92320000008</v>
      </c>
      <c r="E9" s="35">
        <f t="shared" ref="E9:F9" si="2">-E5*E22</f>
        <v>-925946.24012800015</v>
      </c>
      <c r="F9" s="35">
        <f t="shared" si="2"/>
        <v>-962984.08973312017</v>
      </c>
    </row>
    <row r="10" spans="1:6" x14ac:dyDescent="0.3">
      <c r="B10" s="30" t="s">
        <v>6</v>
      </c>
      <c r="C10" s="53">
        <f>'Historical Financials'!$F$10</f>
        <v>-75206</v>
      </c>
      <c r="D10" s="53">
        <f>'Historical Financials'!$F$10</f>
        <v>-75206</v>
      </c>
      <c r="E10" s="53">
        <f>'Historical Financials'!$F$10</f>
        <v>-75206</v>
      </c>
      <c r="F10" s="53">
        <f>'Historical Financials'!$F$10</f>
        <v>-75206</v>
      </c>
    </row>
    <row r="11" spans="1:6" x14ac:dyDescent="0.3">
      <c r="B11" s="30" t="s">
        <v>84</v>
      </c>
      <c r="C11" s="53">
        <f>Liquidity!F10</f>
        <v>947585</v>
      </c>
      <c r="D11" s="71">
        <f>ABS(D8+D9+D10+D12)</f>
        <v>534741.99460163841</v>
      </c>
      <c r="E11" s="71">
        <f t="shared" ref="E11:F11" si="3">ABS(E8+E9+E10+E12)</f>
        <v>536077.12593712239</v>
      </c>
      <c r="F11" s="71">
        <f t="shared" si="3"/>
        <v>559785.41569460742</v>
      </c>
    </row>
    <row r="12" spans="1:6" x14ac:dyDescent="0.3">
      <c r="B12" s="30" t="s">
        <v>150</v>
      </c>
      <c r="C12" s="71">
        <f>-(C6+C10)*C23</f>
        <v>-194782.18600147081</v>
      </c>
      <c r="D12" s="71">
        <f>-(D6+D10)*D23</f>
        <v>-217044.36660399998</v>
      </c>
      <c r="E12" s="71">
        <f>-(E6+E10)*E23</f>
        <v>-219147.82325116181</v>
      </c>
      <c r="F12" s="71">
        <f>-(F6+F10)*F23</f>
        <v>-228656.77146120829</v>
      </c>
    </row>
    <row r="13" spans="1:6" x14ac:dyDescent="0.3">
      <c r="B13" s="3"/>
      <c r="C13" s="58"/>
      <c r="D13" s="58"/>
      <c r="E13" s="58"/>
      <c r="F13" s="58"/>
    </row>
    <row r="14" spans="1:6" x14ac:dyDescent="0.3">
      <c r="A14" t="s">
        <v>73</v>
      </c>
      <c r="B14" s="18" t="s">
        <v>151</v>
      </c>
      <c r="C14" s="58"/>
      <c r="D14" s="58"/>
      <c r="E14" s="58"/>
      <c r="F14" s="58"/>
    </row>
    <row r="15" spans="1:6" x14ac:dyDescent="0.3">
      <c r="B15" s="3" t="s">
        <v>79</v>
      </c>
      <c r="C15" s="61">
        <f>'Credit Ratios'!F16</f>
        <v>0.92843832404766513</v>
      </c>
      <c r="D15" s="22">
        <f>'Debt Schedule'!$D$10/Projections!D8</f>
        <v>0.8599419186395526</v>
      </c>
      <c r="E15" s="22">
        <f>'Debt Schedule'!$D$10/Projections!E8</f>
        <v>0.84082166916258061</v>
      </c>
      <c r="F15" s="22">
        <f>'Debt Schedule'!$D$10/Projections!F8</f>
        <v>0.80848237419478897</v>
      </c>
    </row>
    <row r="16" spans="1:6" x14ac:dyDescent="0.3">
      <c r="B16" s="3" t="s">
        <v>82</v>
      </c>
      <c r="C16" s="60">
        <f>'Credit Ratios'!F19</f>
        <v>11.502659362284923</v>
      </c>
      <c r="D16" s="25">
        <f>-D6/D10</f>
        <v>12.684202483844373</v>
      </c>
      <c r="E16" s="25">
        <f t="shared" ref="E16:F16" si="4">-E6/E10</f>
        <v>12.79743838010824</v>
      </c>
      <c r="F16" s="25">
        <f t="shared" si="4"/>
        <v>13.30933591531257</v>
      </c>
    </row>
    <row r="17" spans="1:6" x14ac:dyDescent="0.3">
      <c r="B17" s="3"/>
      <c r="C17" s="58"/>
      <c r="D17" s="58"/>
      <c r="E17" s="58"/>
      <c r="F17" s="58"/>
    </row>
    <row r="18" spans="1:6" x14ac:dyDescent="0.3">
      <c r="B18" s="30" t="s">
        <v>118</v>
      </c>
      <c r="C18" s="54">
        <f>'Credit Ratios'!F6</f>
        <v>-7.2893615430003498E-3</v>
      </c>
      <c r="D18" s="55">
        <f>C37</f>
        <v>0.06</v>
      </c>
      <c r="E18" s="55">
        <f>C41</f>
        <v>0.04</v>
      </c>
      <c r="F18" s="55">
        <f>C42</f>
        <v>0.04</v>
      </c>
    </row>
    <row r="19" spans="1:6" x14ac:dyDescent="0.3">
      <c r="B19" s="30" t="s">
        <v>137</v>
      </c>
      <c r="C19" s="54">
        <f>'Historical Financials'!F8/'Historical Financials'!F6</f>
        <v>7.2094514453422159E-2</v>
      </c>
      <c r="D19" s="59">
        <v>7.4999999999999997E-2</v>
      </c>
      <c r="E19" s="56">
        <f>AVERAGE($C$43:$C$45)</f>
        <v>7.2759181513276885E-2</v>
      </c>
      <c r="F19" s="56">
        <f>AVERAGE($C$43:$C$45)</f>
        <v>7.2759181513276885E-2</v>
      </c>
    </row>
    <row r="20" spans="1:6" x14ac:dyDescent="0.3">
      <c r="B20" s="30" t="s">
        <v>142</v>
      </c>
      <c r="C20" s="54">
        <f>'Historical Financials'!F93</f>
        <v>5.9569904266121382E-2</v>
      </c>
      <c r="D20" s="56">
        <f>AVERAGE('Historical Financials'!$D$93:$F$93)</f>
        <v>6.0020020911200976E-2</v>
      </c>
      <c r="E20" s="56">
        <f>AVERAGE('Historical Financials'!$D$93:$F$93)</f>
        <v>6.0020020911200976E-2</v>
      </c>
      <c r="F20" s="56">
        <f>AVERAGE('Historical Financials'!$D$93:$F$93)</f>
        <v>6.0020020911200976E-2</v>
      </c>
    </row>
    <row r="21" spans="1:6" x14ac:dyDescent="0.3">
      <c r="B21" s="30" t="s">
        <v>145</v>
      </c>
      <c r="C21" s="56">
        <f>C8/C5</f>
        <v>0.13166441871954354</v>
      </c>
      <c r="D21" s="56">
        <f t="shared" ref="D21:F21" si="5">D8/D5</f>
        <v>0.13502002091120097</v>
      </c>
      <c r="E21" s="56">
        <f t="shared" si="5"/>
        <v>0.13277920242447785</v>
      </c>
      <c r="F21" s="56">
        <f t="shared" si="5"/>
        <v>0.13277920242447788</v>
      </c>
    </row>
    <row r="22" spans="1:6" x14ac:dyDescent="0.3">
      <c r="B22" s="30" t="s">
        <v>148</v>
      </c>
      <c r="C22" s="56">
        <f>'Historical Financials'!F94</f>
        <v>6.0895170769531305E-2</v>
      </c>
      <c r="D22" s="57">
        <v>7.0000000000000007E-2</v>
      </c>
      <c r="E22" s="57">
        <v>7.0000000000000007E-2</v>
      </c>
      <c r="F22" s="57">
        <v>7.0000000000000007E-2</v>
      </c>
    </row>
    <row r="23" spans="1:6" x14ac:dyDescent="0.3">
      <c r="A23" t="s">
        <v>73</v>
      </c>
      <c r="B23" s="30" t="s">
        <v>149</v>
      </c>
      <c r="C23" s="54">
        <f>-'Historical Financials'!F12/'Historical Financials'!F11</f>
        <v>0.24660249435847839</v>
      </c>
      <c r="D23" s="59">
        <f t="shared" ref="D23:F23" si="6">24.7%</f>
        <v>0.247</v>
      </c>
      <c r="E23" s="59">
        <f t="shared" si="6"/>
        <v>0.247</v>
      </c>
      <c r="F23" s="59">
        <f t="shared" si="6"/>
        <v>0.247</v>
      </c>
    </row>
    <row r="25" spans="1:6" x14ac:dyDescent="0.3">
      <c r="B25" s="3"/>
    </row>
    <row r="29" spans="1:6" x14ac:dyDescent="0.3">
      <c r="C29" s="45"/>
    </row>
    <row r="31" spans="1:6" x14ac:dyDescent="0.3">
      <c r="B31" t="s">
        <v>129</v>
      </c>
      <c r="D31" t="s">
        <v>119</v>
      </c>
    </row>
    <row r="32" spans="1:6" x14ac:dyDescent="0.3">
      <c r="B32" t="s">
        <v>120</v>
      </c>
      <c r="C32" t="s">
        <v>128</v>
      </c>
      <c r="D32" t="s">
        <v>133</v>
      </c>
      <c r="E32" s="45">
        <f>E34/E33</f>
        <v>7.1201948414989683E-2</v>
      </c>
    </row>
    <row r="33" spans="2:5" x14ac:dyDescent="0.3">
      <c r="B33" t="s">
        <v>121</v>
      </c>
      <c r="C33" s="50">
        <f>'Historical Financials'!F6</f>
        <v>11999096</v>
      </c>
      <c r="D33" t="s">
        <v>123</v>
      </c>
      <c r="E33">
        <f>C36</f>
        <v>6551787</v>
      </c>
    </row>
    <row r="34" spans="2:5" x14ac:dyDescent="0.3">
      <c r="B34" t="s">
        <v>122</v>
      </c>
      <c r="C34" s="49">
        <f>5849573</f>
        <v>5849573</v>
      </c>
      <c r="D34" t="s">
        <v>134</v>
      </c>
      <c r="E34">
        <v>466500</v>
      </c>
    </row>
    <row r="35" spans="2:5" x14ac:dyDescent="0.3">
      <c r="B35" t="s">
        <v>125</v>
      </c>
      <c r="C35">
        <f>C33-C34</f>
        <v>6149523</v>
      </c>
      <c r="D35" t="s">
        <v>133</v>
      </c>
      <c r="E35" s="45">
        <f>E37/E36</f>
        <v>6.4270332210573322E-2</v>
      </c>
    </row>
    <row r="36" spans="2:5" x14ac:dyDescent="0.3">
      <c r="B36" t="s">
        <v>123</v>
      </c>
      <c r="C36" s="49">
        <f>6551787</f>
        <v>6551787</v>
      </c>
      <c r="D36" t="s">
        <v>135</v>
      </c>
      <c r="E36">
        <f>C34</f>
        <v>5849573</v>
      </c>
    </row>
    <row r="37" spans="2:5" x14ac:dyDescent="0.3">
      <c r="B37" s="3" t="s">
        <v>124</v>
      </c>
      <c r="C37" s="48">
        <v>0.06</v>
      </c>
      <c r="D37" t="s">
        <v>136</v>
      </c>
      <c r="E37">
        <f>375954</f>
        <v>375954</v>
      </c>
    </row>
    <row r="38" spans="2:5" x14ac:dyDescent="0.3">
      <c r="B38" t="s">
        <v>126</v>
      </c>
      <c r="C38">
        <f>C33*(1+C37)</f>
        <v>12719041.76</v>
      </c>
    </row>
    <row r="39" spans="2:5" x14ac:dyDescent="0.3">
      <c r="B39" t="s">
        <v>127</v>
      </c>
      <c r="C39">
        <f>C38-C36</f>
        <v>6167254.7599999998</v>
      </c>
    </row>
    <row r="40" spans="2:5" x14ac:dyDescent="0.3">
      <c r="B40" t="s">
        <v>130</v>
      </c>
      <c r="C40" s="46">
        <f>(C36/C34)-1</f>
        <v>0.12004534348062679</v>
      </c>
    </row>
    <row r="41" spans="2:5" x14ac:dyDescent="0.3">
      <c r="B41" t="s">
        <v>131</v>
      </c>
      <c r="C41" s="47">
        <v>0.04</v>
      </c>
    </row>
    <row r="42" spans="2:5" x14ac:dyDescent="0.3">
      <c r="B42" t="s">
        <v>132</v>
      </c>
      <c r="C42" s="47">
        <v>0.04</v>
      </c>
    </row>
    <row r="43" spans="2:5" x14ac:dyDescent="0.3">
      <c r="B43" t="s">
        <v>138</v>
      </c>
      <c r="C43" s="45">
        <f>C19</f>
        <v>7.2094514453422159E-2</v>
      </c>
    </row>
    <row r="44" spans="2:5" x14ac:dyDescent="0.3">
      <c r="B44" t="s">
        <v>139</v>
      </c>
      <c r="C44" s="45">
        <f>'Historical Financials'!E8/'Historical Financials'!E6</f>
        <v>6.8769005636042879E-2</v>
      </c>
    </row>
    <row r="45" spans="2:5" x14ac:dyDescent="0.3">
      <c r="B45" t="s">
        <v>140</v>
      </c>
      <c r="C45" s="45">
        <f>'Historical Financials'!D8/'Historical Financials'!D6</f>
        <v>7.7414024450365618E-2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A4FC-C436-4C46-8F8A-1589FB0233A1}">
  <sheetPr>
    <tabColor theme="8"/>
  </sheetPr>
  <dimension ref="A2:G43"/>
  <sheetViews>
    <sheetView showGridLines="0" workbookViewId="0">
      <selection activeCell="F17" sqref="F17"/>
    </sheetView>
  </sheetViews>
  <sheetFormatPr defaultRowHeight="14.4" x14ac:dyDescent="0.3"/>
  <cols>
    <col min="2" max="2" width="25.77734375" customWidth="1"/>
    <col min="3" max="3" width="15.77734375" customWidth="1"/>
    <col min="4" max="4" width="14.77734375" customWidth="1"/>
    <col min="5" max="6" width="12.21875" bestFit="1" customWidth="1"/>
  </cols>
  <sheetData>
    <row r="2" spans="1:6" ht="33" x14ac:dyDescent="0.65">
      <c r="B2" s="44" t="s">
        <v>152</v>
      </c>
    </row>
    <row r="4" spans="1:6" x14ac:dyDescent="0.3">
      <c r="A4" t="s">
        <v>73</v>
      </c>
      <c r="B4" s="30" t="s">
        <v>107</v>
      </c>
      <c r="C4" s="51">
        <v>2025</v>
      </c>
      <c r="D4" s="52">
        <v>2026</v>
      </c>
      <c r="E4" s="52">
        <v>2027</v>
      </c>
      <c r="F4" s="52">
        <v>2028</v>
      </c>
    </row>
    <row r="5" spans="1:6" x14ac:dyDescent="0.3">
      <c r="B5" s="30" t="s">
        <v>117</v>
      </c>
      <c r="C5" s="53">
        <f>'Historical Financials'!F6</f>
        <v>11999096</v>
      </c>
      <c r="D5" s="35">
        <f>C5*(1+D19)</f>
        <v>12479059.84</v>
      </c>
      <c r="E5" s="35">
        <f>D5*(1+E19)</f>
        <v>11480735.0528</v>
      </c>
      <c r="F5" s="35">
        <f>E5*(1+F19)</f>
        <v>11251120.351744</v>
      </c>
    </row>
    <row r="6" spans="1:6" x14ac:dyDescent="0.3">
      <c r="B6" s="30" t="s">
        <v>71</v>
      </c>
      <c r="C6" s="53">
        <f>'Historical Financials'!F8</f>
        <v>865069</v>
      </c>
      <c r="D6" s="35">
        <f>D5*D20</f>
        <v>873534.18880000012</v>
      </c>
      <c r="E6" s="35">
        <f t="shared" ref="E6:F6" si="0">E5*E20</f>
        <v>688844.103168</v>
      </c>
      <c r="F6" s="35">
        <f t="shared" si="0"/>
        <v>675067.22110463993</v>
      </c>
    </row>
    <row r="7" spans="1:6" x14ac:dyDescent="0.3">
      <c r="B7" s="30" t="s">
        <v>143</v>
      </c>
      <c r="C7" s="53">
        <f>'Historical Financials'!F58</f>
        <v>714785</v>
      </c>
      <c r="D7" s="35">
        <f>D5*AVERAGE('Historical Financials'!$D$93:$F$93)</f>
        <v>748993.43254892831</v>
      </c>
      <c r="E7" s="35">
        <f>E5*AVERAGE('Historical Financials'!$D$93:$F$93)</f>
        <v>689073.957945014</v>
      </c>
      <c r="F7" s="35">
        <f>F5*AVERAGE('Historical Financials'!$D$93:$F$93)</f>
        <v>675292.47878611379</v>
      </c>
    </row>
    <row r="8" spans="1:6" x14ac:dyDescent="0.3">
      <c r="B8" s="30" t="s">
        <v>144</v>
      </c>
      <c r="C8" s="71">
        <f>C6+C7</f>
        <v>1579854</v>
      </c>
      <c r="D8" s="35">
        <f>D6+D7</f>
        <v>1622527.6213489284</v>
      </c>
      <c r="E8" s="35">
        <f t="shared" ref="E8:F8" si="1">E6+E7</f>
        <v>1377918.0611130139</v>
      </c>
      <c r="F8" s="35">
        <f t="shared" si="1"/>
        <v>1350359.6998907537</v>
      </c>
    </row>
    <row r="9" spans="1:6" x14ac:dyDescent="0.3">
      <c r="B9" s="30" t="s">
        <v>147</v>
      </c>
      <c r="C9" s="53">
        <f>'Historical Financials'!F71</f>
        <v>-730687</v>
      </c>
      <c r="D9" s="35">
        <f>-D5*D23</f>
        <v>-873534.18880000012</v>
      </c>
      <c r="E9" s="35">
        <f t="shared" ref="E9:F9" si="2">-E5*E23</f>
        <v>-803651.45369600004</v>
      </c>
      <c r="F9" s="35">
        <f t="shared" si="2"/>
        <v>-787578.42462208006</v>
      </c>
    </row>
    <row r="10" spans="1:6" x14ac:dyDescent="0.3">
      <c r="B10" s="30" t="s">
        <v>6</v>
      </c>
      <c r="C10" s="53">
        <f>'Historical Financials'!$F$10</f>
        <v>-75206</v>
      </c>
      <c r="D10" s="53">
        <f>'Historical Financials'!$F$10</f>
        <v>-75206</v>
      </c>
      <c r="E10" s="53">
        <f>'Historical Financials'!$F$10</f>
        <v>-75206</v>
      </c>
      <c r="F10" s="53">
        <f>'Historical Financials'!$F$10</f>
        <v>-75206</v>
      </c>
    </row>
    <row r="11" spans="1:6" x14ac:dyDescent="0.3">
      <c r="B11" s="30" t="s">
        <v>84</v>
      </c>
      <c r="C11" s="53">
        <f>Liquidity!F10</f>
        <v>947585</v>
      </c>
      <c r="D11" s="71">
        <f>ABS(D8+D9+D10+D12)</f>
        <v>476600.36991532828</v>
      </c>
      <c r="E11" s="71">
        <f t="shared" ref="E11:F11" si="3">ABS(E8+E9+E10+E12)</f>
        <v>347491.99593451782</v>
      </c>
      <c r="F11" s="71">
        <f>ABS(F8+F9+F10+F12)</f>
        <v>339409.55365582759</v>
      </c>
    </row>
    <row r="12" spans="1:6" x14ac:dyDescent="0.3">
      <c r="B12" s="30" t="s">
        <v>150</v>
      </c>
      <c r="C12" s="71">
        <f>-(C6+C10)*C24</f>
        <v>-195096.16099999999</v>
      </c>
      <c r="D12" s="71">
        <f>-(D6+D10)*D24</f>
        <v>-197187.06263360003</v>
      </c>
      <c r="E12" s="71">
        <f>-(E6+E10)*E24</f>
        <v>-151568.611482496</v>
      </c>
      <c r="F12" s="71">
        <f>-(F6+F10)*F24</f>
        <v>-148165.72161284607</v>
      </c>
    </row>
    <row r="13" spans="1:6" x14ac:dyDescent="0.3">
      <c r="B13" s="30" t="s">
        <v>155</v>
      </c>
      <c r="C13" s="35">
        <f>(C8+C9+C12)/('Debt Schedule'!F14-'Severe Downside Case'!C10)</f>
        <v>1.1371071216225144</v>
      </c>
      <c r="D13" s="63">
        <f>(D8+D9+D12)/('Debt Schedule'!D30-'Severe Downside Case'!D10)</f>
        <v>0.71181901315950624</v>
      </c>
      <c r="E13" s="63">
        <f>(E8+E9+E12)/('Debt Schedule'!E30-'Severe Downside Case'!E10)</f>
        <v>5.6205355415062339</v>
      </c>
      <c r="F13" s="63">
        <f>(F8+F9+F12)/('Debt Schedule'!F30-'Severe Downside Case'!F10)</f>
        <v>5.513064830676111</v>
      </c>
    </row>
    <row r="14" spans="1:6" x14ac:dyDescent="0.3">
      <c r="B14" s="3"/>
      <c r="C14" s="58"/>
      <c r="D14" s="58"/>
      <c r="E14" s="58"/>
      <c r="F14" s="58"/>
    </row>
    <row r="15" spans="1:6" x14ac:dyDescent="0.3">
      <c r="A15" t="s">
        <v>73</v>
      </c>
      <c r="B15" s="38" t="s">
        <v>151</v>
      </c>
      <c r="C15" s="58"/>
      <c r="D15" s="58"/>
      <c r="E15" s="58"/>
      <c r="F15" s="58"/>
    </row>
    <row r="16" spans="1:6" x14ac:dyDescent="0.3">
      <c r="B16" s="30" t="s">
        <v>79</v>
      </c>
      <c r="C16" s="62">
        <f>'Credit Ratios'!F16</f>
        <v>0.92843832404766513</v>
      </c>
      <c r="D16" s="63">
        <f>'Debt Schedule'!$D$10/'Severe Downside Case'!D8</f>
        <v>0.91018481323123845</v>
      </c>
      <c r="E16" s="63">
        <f>'Debt Schedule'!$D$10/'Severe Downside Case'!E8</f>
        <v>1.0717618425054347</v>
      </c>
      <c r="F16" s="63">
        <f>'Debt Schedule'!$D$10/'Severe Downside Case'!F8</f>
        <v>1.0936345331688109</v>
      </c>
    </row>
    <row r="17" spans="1:7" x14ac:dyDescent="0.3">
      <c r="B17" s="30" t="s">
        <v>82</v>
      </c>
      <c r="C17" s="53">
        <f>'Credit Ratios'!F19</f>
        <v>11.502659362284923</v>
      </c>
      <c r="D17" s="35">
        <f>-D6/D10</f>
        <v>11.615219381432334</v>
      </c>
      <c r="E17" s="35">
        <f t="shared" ref="E17:F17" si="4">-E6/E10</f>
        <v>9.1594301407866396</v>
      </c>
      <c r="F17" s="35">
        <f t="shared" si="4"/>
        <v>8.9762415379709051</v>
      </c>
    </row>
    <row r="18" spans="1:7" x14ac:dyDescent="0.3">
      <c r="B18" s="3"/>
      <c r="C18" s="58"/>
      <c r="D18" s="58"/>
      <c r="E18" s="58"/>
      <c r="F18" s="58"/>
    </row>
    <row r="19" spans="1:7" x14ac:dyDescent="0.3">
      <c r="B19" s="30" t="s">
        <v>118</v>
      </c>
      <c r="C19" s="54">
        <f>'Credit Ratios'!F6</f>
        <v>-7.2893615430003498E-3</v>
      </c>
      <c r="D19" s="59">
        <v>0.04</v>
      </c>
      <c r="E19" s="59">
        <v>-0.08</v>
      </c>
      <c r="F19" s="59">
        <v>-0.02</v>
      </c>
      <c r="G19" t="s">
        <v>153</v>
      </c>
    </row>
    <row r="20" spans="1:7" x14ac:dyDescent="0.3">
      <c r="B20" s="30" t="s">
        <v>137</v>
      </c>
      <c r="C20" s="54">
        <f>'Historical Financials'!F8/'Historical Financials'!F6</f>
        <v>7.2094514453422159E-2</v>
      </c>
      <c r="D20" s="59">
        <v>7.0000000000000007E-2</v>
      </c>
      <c r="E20" s="59">
        <f>6%</f>
        <v>0.06</v>
      </c>
      <c r="F20" s="59">
        <f>6%</f>
        <v>0.06</v>
      </c>
      <c r="G20" t="s">
        <v>154</v>
      </c>
    </row>
    <row r="21" spans="1:7" x14ac:dyDescent="0.3">
      <c r="B21" s="30" t="s">
        <v>142</v>
      </c>
      <c r="C21" s="54">
        <f>'Historical Financials'!F93</f>
        <v>5.9569904266121382E-2</v>
      </c>
      <c r="D21" s="56">
        <f>AVERAGE('Historical Financials'!$D$93:$F$93)</f>
        <v>6.0020020911200976E-2</v>
      </c>
      <c r="E21" s="56">
        <f>AVERAGE('Historical Financials'!$D$93:$F$93)</f>
        <v>6.0020020911200976E-2</v>
      </c>
      <c r="F21" s="56">
        <f>AVERAGE('Historical Financials'!$D$93:$F$93)</f>
        <v>6.0020020911200976E-2</v>
      </c>
    </row>
    <row r="22" spans="1:7" x14ac:dyDescent="0.3">
      <c r="B22" s="30" t="s">
        <v>145</v>
      </c>
      <c r="C22" s="56">
        <f>C8/C5</f>
        <v>0.13166441871954354</v>
      </c>
      <c r="D22" s="56">
        <f t="shared" ref="D22:F22" si="5">D8/D5</f>
        <v>0.13002002091120099</v>
      </c>
      <c r="E22" s="56">
        <f t="shared" si="5"/>
        <v>0.12002002091120097</v>
      </c>
      <c r="F22" s="56">
        <f t="shared" si="5"/>
        <v>0.12002002091120097</v>
      </c>
    </row>
    <row r="23" spans="1:7" x14ac:dyDescent="0.3">
      <c r="B23" s="30" t="s">
        <v>148</v>
      </c>
      <c r="C23" s="54">
        <f>'Historical Financials'!F94</f>
        <v>6.0895170769531305E-2</v>
      </c>
      <c r="D23" s="59">
        <v>7.0000000000000007E-2</v>
      </c>
      <c r="E23" s="59">
        <v>7.0000000000000007E-2</v>
      </c>
      <c r="F23" s="59">
        <v>7.0000000000000007E-2</v>
      </c>
    </row>
    <row r="24" spans="1:7" x14ac:dyDescent="0.3">
      <c r="A24" t="s">
        <v>73</v>
      </c>
      <c r="B24" s="30" t="s">
        <v>149</v>
      </c>
      <c r="C24" s="59">
        <f>24.7%</f>
        <v>0.247</v>
      </c>
      <c r="D24" s="59">
        <f t="shared" ref="D24:F24" si="6">24.7%</f>
        <v>0.247</v>
      </c>
      <c r="E24" s="59">
        <f t="shared" si="6"/>
        <v>0.247</v>
      </c>
      <c r="F24" s="59">
        <f t="shared" si="6"/>
        <v>0.247</v>
      </c>
    </row>
    <row r="26" spans="1:7" x14ac:dyDescent="0.3">
      <c r="B26" s="3"/>
    </row>
    <row r="30" spans="1:7" x14ac:dyDescent="0.3">
      <c r="C30" s="45"/>
    </row>
    <row r="33" spans="3:5" x14ac:dyDescent="0.3">
      <c r="E33" s="45"/>
    </row>
    <row r="34" spans="3:5" x14ac:dyDescent="0.3">
      <c r="C34" s="50"/>
    </row>
    <row r="35" spans="3:5" x14ac:dyDescent="0.3">
      <c r="C35" s="49"/>
    </row>
    <row r="39" spans="3:5" x14ac:dyDescent="0.3">
      <c r="C39" s="46"/>
    </row>
    <row r="40" spans="3:5" x14ac:dyDescent="0.3">
      <c r="C40" s="47"/>
    </row>
    <row r="41" spans="3:5" x14ac:dyDescent="0.3">
      <c r="C41" s="45"/>
    </row>
    <row r="42" spans="3:5" x14ac:dyDescent="0.3">
      <c r="C42" s="45"/>
    </row>
    <row r="43" spans="3:5" x14ac:dyDescent="0.3">
      <c r="C43" s="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</vt:lpstr>
      <vt:lpstr>Historical Financials</vt:lpstr>
      <vt:lpstr>Credit Ratios</vt:lpstr>
      <vt:lpstr>Liquidity</vt:lpstr>
      <vt:lpstr>Debt Schedule</vt:lpstr>
      <vt:lpstr>Projections</vt:lpstr>
      <vt:lpstr>Severe Downside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Griffin Hanenburg</dc:creator>
  <cp:lastModifiedBy>Griffin Hanenburg</cp:lastModifiedBy>
  <dcterms:created xsi:type="dcterms:W3CDTF">2026-10-02T20:25:48Z</dcterms:created>
  <dcterms:modified xsi:type="dcterms:W3CDTF">2026-10-12T01:53:23Z</dcterms:modified>
</cp:coreProperties>
</file>